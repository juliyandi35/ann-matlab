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13_ncr:1_{28E08864-38A4-4856-8817-1ED5FC76CE86}" xr6:coauthVersionLast="47" xr6:coauthVersionMax="47" xr10:uidLastSave="{00000000-0000-0000-0000-000000000000}"/>
  <bookViews>
    <workbookView xWindow="-110" yWindow="-110" windowWidth="19420" windowHeight="10300" activeTab="3" xr2:uid="{2F3618E3-236A-4C42-B75C-9D824D94A95B}"/>
  </bookViews>
  <sheets>
    <sheet name="Output 1" sheetId="3" r:id="rId1"/>
    <sheet name="Output 2" sheetId="2" r:id="rId2"/>
    <sheet name="Output 3" sheetId="1" r:id="rId3"/>
    <sheet name="Output 4" sheetId="4" r:id="rId4"/>
  </sheets>
  <definedNames>
    <definedName name="_Hlk173187818" localSheetId="2">'Output 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22" i="4"/>
  <c r="E23" i="4"/>
  <c r="E24" i="4"/>
  <c r="E3" i="4"/>
  <c r="E4" i="4"/>
  <c r="E5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<sst xmlns="http://schemas.openxmlformats.org/spreadsheetml/2006/main" count="208" uniqueCount="158">
  <si>
    <t>No.</t>
  </si>
  <si>
    <t>Nama Perusahaan</t>
  </si>
  <si>
    <t>Kode Saham</t>
  </si>
  <si>
    <t>Output</t>
  </si>
  <si>
    <t>Prediksi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</si>
  <si>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</si>
  <si>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</si>
  <si>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</si>
  <si>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</si>
  <si>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</si>
  <si>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</si>
  <si>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</si>
  <si>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</si>
  <si>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</si>
  <si>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</si>
  <si>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</si>
  <si>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</si>
  <si>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</si>
  <si>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</si>
  <si>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</si>
  <si>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</si>
  <si>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</si>
  <si>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</si>
  <si>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</si>
  <si>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</si>
  <si>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r>
      <t xml:space="preserve">Total </t>
    </r>
    <r>
      <rPr>
        <b/>
        <i/>
        <sz val="10"/>
        <color theme="1"/>
        <rFont val="Times New Roman"/>
        <family val="1"/>
      </rPr>
      <t>Neuron</t>
    </r>
  </si>
  <si>
    <r>
      <t xml:space="preserve">Nilai </t>
    </r>
    <r>
      <rPr>
        <b/>
        <i/>
        <sz val="10"/>
        <color theme="1"/>
        <rFont val="Times New Roman"/>
        <family val="1"/>
      </rPr>
      <t xml:space="preserve">error </t>
    </r>
    <r>
      <rPr>
        <b/>
        <sz val="10"/>
        <color theme="1"/>
        <rFont val="Times New Roman"/>
        <family val="1"/>
      </rPr>
      <t>(MSE)</t>
    </r>
  </si>
  <si>
    <t>Input Layer</t>
  </si>
  <si>
    <t>Hidden Layer</t>
  </si>
  <si>
    <t>Fungsi Pelatihan</t>
  </si>
  <si>
    <t>Fungsi Aktivasi</t>
  </si>
  <si>
    <r>
      <t xml:space="preserve">Total </t>
    </r>
    <r>
      <rPr>
        <b/>
        <i/>
        <sz val="10"/>
        <color theme="1"/>
        <rFont val="Times New Roman"/>
        <family val="1"/>
      </rPr>
      <t xml:space="preserve">Neuron </t>
    </r>
    <r>
      <rPr>
        <b/>
        <sz val="10"/>
        <color theme="1"/>
        <rFont val="Times New Roman"/>
        <family val="1"/>
      </rPr>
      <t xml:space="preserve">pada </t>
    </r>
    <r>
      <rPr>
        <b/>
        <i/>
        <sz val="10"/>
        <color theme="1"/>
        <rFont val="Times New Roman"/>
        <family val="1"/>
      </rPr>
      <t>Hidden Layer</t>
    </r>
  </si>
  <si>
    <t>MSE</t>
  </si>
  <si>
    <t>R(%)</t>
  </si>
  <si>
    <t>Output Layer</t>
  </si>
  <si>
    <t>TRAINGDX</t>
  </si>
  <si>
    <t>LOGSIG</t>
  </si>
  <si>
    <t>TANSIG</t>
  </si>
  <si>
    <t>Perusahaan</t>
  </si>
  <si>
    <t>Kode Emitem</t>
  </si>
  <si>
    <t>Target</t>
  </si>
  <si>
    <t>Error</t>
  </si>
  <si>
    <t>CINT</t>
  </si>
  <si>
    <t>Ekadharma International Tbk</t>
  </si>
  <si>
    <t>EKAD</t>
  </si>
  <si>
    <t>21.</t>
  </si>
  <si>
    <t>22.</t>
  </si>
  <si>
    <t>23.</t>
  </si>
  <si>
    <t>24.</t>
  </si>
  <si>
    <t>25.</t>
  </si>
  <si>
    <t>SIDO</t>
  </si>
  <si>
    <t>26.</t>
  </si>
  <si>
    <t>27.</t>
  </si>
  <si>
    <t>28.</t>
  </si>
  <si>
    <t>29.</t>
  </si>
  <si>
    <t>30.</t>
  </si>
  <si>
    <t>BRRS</t>
  </si>
  <si>
    <t>STTP</t>
  </si>
  <si>
    <t>ADES</t>
  </si>
  <si>
    <t>SMSM</t>
  </si>
  <si>
    <t>ANTM</t>
  </si>
  <si>
    <t>ITMG</t>
  </si>
  <si>
    <t>PTBA</t>
  </si>
  <si>
    <t>KLBF</t>
  </si>
  <si>
    <t>PWON</t>
  </si>
  <si>
    <t>SCMA</t>
  </si>
  <si>
    <t>UNTR</t>
  </si>
  <si>
    <t>INCO</t>
  </si>
  <si>
    <t>BOSS</t>
  </si>
  <si>
    <t>ETWA</t>
  </si>
  <si>
    <t>COWL</t>
  </si>
  <si>
    <t>EBIT</t>
  </si>
  <si>
    <t>KRAH</t>
  </si>
  <si>
    <t>PRAS</t>
  </si>
  <si>
    <t>BTEL</t>
  </si>
  <si>
    <t>BUMI</t>
  </si>
  <si>
    <t>MDLN</t>
  </si>
  <si>
    <t>AISA</t>
  </si>
  <si>
    <t>ISAT</t>
  </si>
  <si>
    <t>KRAS</t>
  </si>
  <si>
    <t>UNSP</t>
  </si>
  <si>
    <t>MLPL</t>
  </si>
  <si>
    <t>VIVA</t>
  </si>
  <si>
    <t xml:space="preserve">Siantar Top Tbk </t>
  </si>
  <si>
    <t>Akasha Wira International Tbk</t>
  </si>
  <si>
    <t>Aneka Tambang Tbk.</t>
  </si>
  <si>
    <t xml:space="preserve">Indo Tambangraya Megah Tbk </t>
  </si>
  <si>
    <t xml:space="preserve">Tambang Batubara Bukit Asam Tbk </t>
  </si>
  <si>
    <t>Kalbe Farma Tbk</t>
  </si>
  <si>
    <t>Pakuwon Jati Tbk</t>
  </si>
  <si>
    <t>Surya Citra Media Tbk</t>
  </si>
  <si>
    <t>United Tractors Tbk</t>
  </si>
  <si>
    <t>Vale Indonesia Tbk</t>
  </si>
  <si>
    <t xml:space="preserve">PT Chitose Internasional Tbk </t>
  </si>
  <si>
    <t xml:space="preserve">PT Borneo Olah Sarana Sukses Tbk </t>
  </si>
  <si>
    <t>PT Cowel Development Tbk</t>
  </si>
  <si>
    <t>Ebit</t>
  </si>
  <si>
    <t>PT Grand Kartech Tbk</t>
  </si>
  <si>
    <t>Prima Alloy Steel Universal</t>
  </si>
  <si>
    <t>Bumi Resources Tbk</t>
  </si>
  <si>
    <t>Modernland Realty Ltd Tbk</t>
  </si>
  <si>
    <t>FKS Food Sejahtera Tbk PT</t>
  </si>
  <si>
    <t>Indosat Tbk</t>
  </si>
  <si>
    <t>Krakatau Steel Persero Tbk</t>
  </si>
  <si>
    <t>Bakrie Sumatera Plantations</t>
  </si>
  <si>
    <t>Multipolar Tbk</t>
  </si>
  <si>
    <t>Visi Media Asia Tbk</t>
  </si>
  <si>
    <t>Baramulti Suksessarana TBK</t>
  </si>
  <si>
    <t>Industri Jamu &amp; Farmasi Sido Muncul</t>
  </si>
  <si>
    <t>PT Selamat Sempurna Tbk</t>
  </si>
  <si>
    <t>PT Eterindo Wahanatama</t>
  </si>
  <si>
    <t>Express Inc</t>
  </si>
  <si>
    <t>PT Berlian Laju Tanker Tbk </t>
  </si>
  <si>
    <t>PT Pelayaran Nelly Dwi Putri Tbk.  </t>
  </si>
  <si>
    <t>PT Mineral Sumberdaya Mandiri Tbk.  </t>
  </si>
  <si>
    <t>PT Blue Bird Tbk. </t>
  </si>
  <si>
    <t>PT AirAsia Indonesia Tbk.  </t>
  </si>
  <si>
    <t>PT Garuda Indonesia (Persero) Tbk. </t>
  </si>
  <si>
    <t>PT Eka Sari Lorena Transport Tbk. </t>
  </si>
  <si>
    <t>PT Mitra International Resources Tbk.  </t>
  </si>
  <si>
    <t>PT Mitra Investindo Tbk. </t>
  </si>
  <si>
    <t>PT Sidomulyo Selaras Tbk.  </t>
  </si>
  <si>
    <t>PT Samudera Indonesia  Tbk. </t>
  </si>
  <si>
    <t>PT Express Transindo Utama Tbk. </t>
  </si>
  <si>
    <t>PT Temas Tbk. </t>
  </si>
  <si>
    <t>PT WEHA Transportasi Indonesia Tbk.  </t>
  </si>
  <si>
    <t>PT Jaya Trishindo Tbk.  </t>
  </si>
  <si>
    <t>PT Guna Timur Raya Tbk.  </t>
  </si>
  <si>
    <t>PT Trimuda Nuansa Citra Tbk.  </t>
  </si>
  <si>
    <t>PT Batavia Prosperindo Trans Tbk.  </t>
  </si>
  <si>
    <t>PT Satria Antaran Prima Tbk.   </t>
  </si>
  <si>
    <t>PT Dewata Freightinternational Tbk. </t>
  </si>
  <si>
    <t>PT Steady Safe Tbk. </t>
  </si>
  <si>
    <t>PT Indomobil Multi Jasa Tbk.  </t>
  </si>
  <si>
    <t>PT Adi Sarana Armada Tbk. 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</si>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</sst>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_);[Red]\(#,##0.000000\)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E4BB-66C1-4482-96C0-BD55B543E8CD}">
  <dimension ref="A1:C11"/>
  <sheetViews>
    <sheetView workbookViewId="0">
      <selection activeCell="C3" sqref="C3:C11"/>
    </sheetView>
  </sheetViews>
  <sheetFormatPr defaultRowHeight="14.5" x14ac:dyDescent="0.35"/>
  <cols>
    <col min="3" max="3" width="12.08984375" bestFit="1" customWidth="1"/>
  </cols>
  <sheetData>
    <row r="1" spans="1:3" x14ac:dyDescent="0.35">
      <c r="A1" s="22" t="s">
        <v>25</v>
      </c>
      <c r="B1" s="22"/>
      <c r="C1" s="22" t="s">
        <v>26</v>
      </c>
    </row>
    <row r="2" spans="1:3" ht="27" x14ac:dyDescent="0.35">
      <c r="A2" s="9" t="s">
        <v>27</v>
      </c>
      <c r="B2" s="9" t="s">
        <v>28</v>
      </c>
      <c r="C2" s="22"/>
    </row>
    <row r="3" spans="1:3" x14ac:dyDescent="0.35">
      <c r="A3" s="11">
        <v>60</v>
      </c>
      <c r="B3" s="11">
        <v>1</v>
      </c>
      <c r="C3" s="12">
        <v>4.7318706341325687E-6</v>
      </c>
    </row>
    <row r="4" spans="1:3" x14ac:dyDescent="0.35">
      <c r="A4" s="11">
        <v>60</v>
      </c>
      <c r="B4" s="11">
        <v>5</v>
      </c>
      <c r="C4" s="12">
        <v>1.9966701122062652E-2</v>
      </c>
    </row>
    <row r="5" spans="1:3" x14ac:dyDescent="0.35">
      <c r="A5" s="11">
        <v>60</v>
      </c>
      <c r="B5" s="11">
        <v>10</v>
      </c>
      <c r="C5" s="12">
        <v>0.57603250855467969</v>
      </c>
    </row>
    <row r="6" spans="1:3" x14ac:dyDescent="0.35">
      <c r="A6" s="11">
        <v>60</v>
      </c>
      <c r="B6" s="11">
        <v>15</v>
      </c>
      <c r="C6" s="12">
        <v>0.32592176119843702</v>
      </c>
    </row>
    <row r="7" spans="1:3" x14ac:dyDescent="0.35">
      <c r="A7" s="13">
        <v>60</v>
      </c>
      <c r="B7" s="13">
        <v>20</v>
      </c>
      <c r="C7" s="12">
        <v>2.0960745429255376E-6</v>
      </c>
    </row>
    <row r="8" spans="1:3" x14ac:dyDescent="0.35">
      <c r="A8" s="11">
        <v>60</v>
      </c>
      <c r="B8" s="11">
        <v>30</v>
      </c>
      <c r="C8" s="12">
        <v>4.6510760842496252E-2</v>
      </c>
    </row>
    <row r="9" spans="1:3" x14ac:dyDescent="0.35">
      <c r="A9" s="11">
        <v>60</v>
      </c>
      <c r="B9" s="11">
        <v>40</v>
      </c>
      <c r="C9" s="12">
        <v>0.34557393812208331</v>
      </c>
    </row>
    <row r="10" spans="1:3" x14ac:dyDescent="0.35">
      <c r="A10" s="11">
        <v>60</v>
      </c>
      <c r="B10" s="11">
        <v>50</v>
      </c>
      <c r="C10" s="12">
        <v>2.1604586800279611E-3</v>
      </c>
    </row>
    <row r="11" spans="1:3" x14ac:dyDescent="0.35">
      <c r="A11" s="11">
        <v>60</v>
      </c>
      <c r="B11" s="11">
        <v>60</v>
      </c>
      <c r="C11" s="12">
        <v>4.4783683298782097E-6</v>
      </c>
    </row>
  </sheetData>
  <mergeCells count="2">
    <mergeCell ref="A1:B1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100A-B932-4A9C-8815-BBBA28F138B8}">
  <dimension ref="A1:F11"/>
  <sheetViews>
    <sheetView workbookViewId="0">
      <selection sqref="A1:F11"/>
    </sheetView>
  </sheetViews>
  <sheetFormatPr defaultRowHeight="14.5" x14ac:dyDescent="0.35"/>
  <cols>
    <col min="1" max="1" width="13.453125" bestFit="1" customWidth="1"/>
    <col min="2" max="2" width="11.7265625" bestFit="1" customWidth="1"/>
    <col min="3" max="3" width="11.36328125" bestFit="1" customWidth="1"/>
    <col min="4" max="4" width="27" bestFit="1" customWidth="1"/>
    <col min="5" max="5" width="6.7265625" bestFit="1" customWidth="1"/>
    <col min="6" max="6" width="7.54296875" bestFit="1" customWidth="1"/>
  </cols>
  <sheetData>
    <row r="1" spans="1:6" ht="39" customHeight="1" x14ac:dyDescent="0.35">
      <c r="A1" s="23" t="s">
        <v>29</v>
      </c>
      <c r="B1" s="23" t="s">
        <v>30</v>
      </c>
      <c r="C1" s="23"/>
      <c r="D1" s="23" t="s">
        <v>31</v>
      </c>
      <c r="E1" s="23" t="s">
        <v>32</v>
      </c>
      <c r="F1" s="23" t="s">
        <v>33</v>
      </c>
    </row>
    <row r="2" spans="1:6" x14ac:dyDescent="0.35">
      <c r="A2" s="23"/>
      <c r="B2" s="2" t="s">
        <v>28</v>
      </c>
      <c r="C2" s="2" t="s">
        <v>34</v>
      </c>
      <c r="D2" s="23"/>
      <c r="E2" s="23"/>
      <c r="F2" s="23"/>
    </row>
    <row r="3" spans="1:6" x14ac:dyDescent="0.35">
      <c r="A3" s="3" t="s">
        <v>35</v>
      </c>
      <c r="B3" s="3" t="s">
        <v>36</v>
      </c>
      <c r="C3" s="3" t="s">
        <v>37</v>
      </c>
      <c r="D3" s="4">
        <v>1</v>
      </c>
      <c r="E3" s="12">
        <v>4.7318706341325687E-6</v>
      </c>
      <c r="F3" s="12">
        <v>0.99998107251746349</v>
      </c>
    </row>
    <row r="4" spans="1:6" x14ac:dyDescent="0.35">
      <c r="A4" s="3" t="s">
        <v>35</v>
      </c>
      <c r="B4" s="3" t="s">
        <v>36</v>
      </c>
      <c r="C4" s="3" t="s">
        <v>37</v>
      </c>
      <c r="D4" s="4">
        <v>5</v>
      </c>
      <c r="E4" s="12">
        <v>1.9966701122062652E-2</v>
      </c>
      <c r="F4" s="12">
        <v>0.92013319551174944</v>
      </c>
    </row>
    <row r="5" spans="1:6" x14ac:dyDescent="0.35">
      <c r="A5" s="3" t="s">
        <v>35</v>
      </c>
      <c r="B5" s="3" t="s">
        <v>36</v>
      </c>
      <c r="C5" s="3" t="s">
        <v>37</v>
      </c>
      <c r="D5" s="4">
        <v>10</v>
      </c>
      <c r="E5" s="12">
        <v>0.57603250855467969</v>
      </c>
      <c r="F5" s="12">
        <v>-1.3041300342187188</v>
      </c>
    </row>
    <row r="6" spans="1:6" x14ac:dyDescent="0.35">
      <c r="A6" s="3" t="s">
        <v>35</v>
      </c>
      <c r="B6" s="3" t="s">
        <v>36</v>
      </c>
      <c r="C6" s="3" t="s">
        <v>37</v>
      </c>
      <c r="D6" s="4">
        <v>15</v>
      </c>
      <c r="E6" s="12">
        <v>0.32592176119843702</v>
      </c>
      <c r="F6" s="12">
        <v>-0.30368704479374808</v>
      </c>
    </row>
    <row r="7" spans="1:6" x14ac:dyDescent="0.35">
      <c r="A7" s="1" t="s">
        <v>35</v>
      </c>
      <c r="B7" s="1" t="s">
        <v>36</v>
      </c>
      <c r="C7" s="1" t="s">
        <v>37</v>
      </c>
      <c r="D7" s="5">
        <v>20</v>
      </c>
      <c r="E7" s="14">
        <v>2.0960745429255376E-6</v>
      </c>
      <c r="F7" s="14">
        <v>0.99999161570182826</v>
      </c>
    </row>
    <row r="8" spans="1:6" x14ac:dyDescent="0.35">
      <c r="A8" s="3" t="s">
        <v>35</v>
      </c>
      <c r="B8" s="3" t="s">
        <v>36</v>
      </c>
      <c r="C8" s="3" t="s">
        <v>37</v>
      </c>
      <c r="D8" s="4">
        <v>30</v>
      </c>
      <c r="E8" s="12">
        <v>4.6510760842496252E-2</v>
      </c>
      <c r="F8" s="12">
        <v>0.81395695663001499</v>
      </c>
    </row>
    <row r="9" spans="1:6" x14ac:dyDescent="0.35">
      <c r="A9" s="3" t="s">
        <v>35</v>
      </c>
      <c r="B9" s="3" t="s">
        <v>36</v>
      </c>
      <c r="C9" s="3" t="s">
        <v>37</v>
      </c>
      <c r="D9" s="4">
        <v>40</v>
      </c>
      <c r="E9" s="12">
        <v>0.34557393812208331</v>
      </c>
      <c r="F9" s="12">
        <v>-0.38229575248833325</v>
      </c>
    </row>
    <row r="10" spans="1:6" x14ac:dyDescent="0.35">
      <c r="A10" s="3" t="s">
        <v>35</v>
      </c>
      <c r="B10" s="3" t="s">
        <v>36</v>
      </c>
      <c r="C10" s="3" t="s">
        <v>37</v>
      </c>
      <c r="D10" s="4">
        <v>50</v>
      </c>
      <c r="E10" s="12">
        <v>2.1604586800279611E-3</v>
      </c>
      <c r="F10" s="12">
        <v>0.99135816527988818</v>
      </c>
    </row>
    <row r="11" spans="1:6" x14ac:dyDescent="0.35">
      <c r="A11" s="3" t="s">
        <v>35</v>
      </c>
      <c r="B11" s="3" t="s">
        <v>36</v>
      </c>
      <c r="C11" s="3" t="s">
        <v>37</v>
      </c>
      <c r="D11" s="4">
        <v>60</v>
      </c>
      <c r="E11" s="12">
        <v>4.4783683298782097E-6</v>
      </c>
      <c r="F11" s="12">
        <v>0.99998208652668052</v>
      </c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CDC-7AED-4525-B652-6120E8308B12}">
  <dimension ref="A1:F31"/>
  <sheetViews>
    <sheetView workbookViewId="0">
      <selection activeCell="G3" sqref="G3"/>
    </sheetView>
  </sheetViews>
  <sheetFormatPr defaultRowHeight="14.5" x14ac:dyDescent="0.35"/>
  <cols>
    <col min="1" max="1" width="3.453125" bestFit="1" customWidth="1"/>
    <col min="2" max="2" width="50" bestFit="1" customWidth="1"/>
    <col min="3" max="3" width="10.36328125" bestFit="1" customWidth="1"/>
    <col min="4" max="4" width="6.6328125" bestFit="1" customWidth="1"/>
    <col min="5" max="5" width="10.90625" bestFit="1" customWidth="1"/>
    <col min="6" max="6" width="11" bestFit="1" customWidth="1"/>
  </cols>
  <sheetData>
    <row r="1" spans="1:6" ht="26" x14ac:dyDescent="0.35">
      <c r="A1" s="8" t="s">
        <v>0</v>
      </c>
      <c r="B1" s="8" t="s">
        <v>38</v>
      </c>
      <c r="C1" s="8" t="s">
        <v>39</v>
      </c>
      <c r="D1" s="8" t="s">
        <v>40</v>
      </c>
      <c r="E1" s="9" t="s">
        <v>3</v>
      </c>
      <c r="F1" s="9" t="s">
        <v>41</v>
      </c>
    </row>
    <row r="2" spans="1:6" x14ac:dyDescent="0.35">
      <c r="A2" s="10" t="s">
        <v>5</v>
      </c>
      <c r="B2" s="10" t="s">
        <v>107</v>
      </c>
      <c r="C2" s="6" t="s">
        <v>56</v>
      </c>
      <c r="D2" s="11">
        <v>0</v>
      </c>
      <c r="E2" s="12">
        <v>1.0458965983329849E-3</v>
      </c>
      <c r="F2" s="11">
        <f>D2-E2</f>
        <v>-1.0458965983329849E-3</v>
      </c>
    </row>
    <row r="3" spans="1:6" x14ac:dyDescent="0.35">
      <c r="A3" s="10" t="s">
        <v>6</v>
      </c>
      <c r="B3" s="10" t="s">
        <v>108</v>
      </c>
      <c r="C3" s="7" t="s">
        <v>50</v>
      </c>
      <c r="D3" s="11">
        <v>0</v>
      </c>
      <c r="E3" s="12">
        <v>3.2188107857267223E-5</v>
      </c>
      <c r="F3" s="11">
        <f t="shared" ref="F3:F31" si="0">D3-E3</f>
        <v>-3.2188107857267223E-5</v>
      </c>
    </row>
    <row r="4" spans="1:6" x14ac:dyDescent="0.35">
      <c r="A4" s="10" t="s">
        <v>7</v>
      </c>
      <c r="B4" s="10" t="s">
        <v>83</v>
      </c>
      <c r="C4" s="7" t="s">
        <v>57</v>
      </c>
      <c r="D4" s="11">
        <v>0</v>
      </c>
      <c r="E4" s="12">
        <v>1.7269862078783671E-5</v>
      </c>
      <c r="F4" s="11">
        <f t="shared" si="0"/>
        <v>-1.7269862078783671E-5</v>
      </c>
    </row>
    <row r="5" spans="1:6" x14ac:dyDescent="0.35">
      <c r="A5" s="10" t="s">
        <v>8</v>
      </c>
      <c r="B5" s="10" t="s">
        <v>84</v>
      </c>
      <c r="C5" s="7" t="s">
        <v>58</v>
      </c>
      <c r="D5" s="11">
        <v>0</v>
      </c>
      <c r="E5" s="12">
        <v>3.3251098480069352E-5</v>
      </c>
      <c r="F5" s="11">
        <f t="shared" si="0"/>
        <v>-3.3251098480069352E-5</v>
      </c>
    </row>
    <row r="6" spans="1:6" x14ac:dyDescent="0.35">
      <c r="A6" s="10" t="s">
        <v>9</v>
      </c>
      <c r="B6" s="10" t="s">
        <v>109</v>
      </c>
      <c r="C6" s="7" t="s">
        <v>59</v>
      </c>
      <c r="D6" s="11">
        <v>0</v>
      </c>
      <c r="E6" s="12">
        <v>3.1830641605612442E-5</v>
      </c>
      <c r="F6" s="11">
        <f t="shared" si="0"/>
        <v>-3.1830641605612442E-5</v>
      </c>
    </row>
    <row r="7" spans="1:6" x14ac:dyDescent="0.35">
      <c r="A7" s="10" t="s">
        <v>10</v>
      </c>
      <c r="B7" s="10" t="s">
        <v>85</v>
      </c>
      <c r="C7" s="7" t="s">
        <v>60</v>
      </c>
      <c r="D7" s="11">
        <v>0</v>
      </c>
      <c r="E7" s="12">
        <v>6.349386347260233E-4</v>
      </c>
      <c r="F7" s="11">
        <f t="shared" si="0"/>
        <v>-6.349386347260233E-4</v>
      </c>
    </row>
    <row r="8" spans="1:6" x14ac:dyDescent="0.35">
      <c r="A8" s="10" t="s">
        <v>11</v>
      </c>
      <c r="B8" s="10" t="s">
        <v>86</v>
      </c>
      <c r="C8" s="7" t="s">
        <v>61</v>
      </c>
      <c r="D8" s="11">
        <v>0</v>
      </c>
      <c r="E8" s="12">
        <v>4.1513135962734093E-5</v>
      </c>
      <c r="F8" s="11">
        <f t="shared" si="0"/>
        <v>-4.1513135962734093E-5</v>
      </c>
    </row>
    <row r="9" spans="1:6" x14ac:dyDescent="0.35">
      <c r="A9" s="10" t="s">
        <v>12</v>
      </c>
      <c r="B9" s="10" t="s">
        <v>87</v>
      </c>
      <c r="C9" s="7" t="s">
        <v>62</v>
      </c>
      <c r="D9" s="11">
        <v>0</v>
      </c>
      <c r="E9" s="12">
        <v>1.4507093387186587E-3</v>
      </c>
      <c r="F9" s="11">
        <f t="shared" si="0"/>
        <v>-1.4507093387186587E-3</v>
      </c>
    </row>
    <row r="10" spans="1:6" x14ac:dyDescent="0.35">
      <c r="A10" s="10" t="s">
        <v>13</v>
      </c>
      <c r="B10" s="10" t="s">
        <v>88</v>
      </c>
      <c r="C10" s="7" t="s">
        <v>63</v>
      </c>
      <c r="D10" s="11">
        <v>0</v>
      </c>
      <c r="E10" s="12">
        <v>4.8586030969854921E-5</v>
      </c>
      <c r="F10" s="11">
        <f t="shared" si="0"/>
        <v>-4.8586030969854921E-5</v>
      </c>
    </row>
    <row r="11" spans="1:6" x14ac:dyDescent="0.35">
      <c r="A11" s="10" t="s">
        <v>14</v>
      </c>
      <c r="B11" s="10" t="s">
        <v>89</v>
      </c>
      <c r="C11" s="6" t="s">
        <v>64</v>
      </c>
      <c r="D11" s="11">
        <v>0</v>
      </c>
      <c r="E11" s="12">
        <v>1.0320686939557788E-4</v>
      </c>
      <c r="F11" s="11">
        <f t="shared" si="0"/>
        <v>-1.0320686939557788E-4</v>
      </c>
    </row>
    <row r="12" spans="1:6" x14ac:dyDescent="0.35">
      <c r="A12" s="10" t="s">
        <v>15</v>
      </c>
      <c r="B12" s="10" t="s">
        <v>90</v>
      </c>
      <c r="C12" s="7" t="s">
        <v>65</v>
      </c>
      <c r="D12" s="11">
        <v>0</v>
      </c>
      <c r="E12" s="12">
        <v>1.1336971456687994E-4</v>
      </c>
      <c r="F12" s="11">
        <f t="shared" si="0"/>
        <v>-1.1336971456687994E-4</v>
      </c>
    </row>
    <row r="13" spans="1:6" x14ac:dyDescent="0.35">
      <c r="A13" s="10" t="s">
        <v>16</v>
      </c>
      <c r="B13" s="10" t="s">
        <v>91</v>
      </c>
      <c r="C13" s="7" t="s">
        <v>66</v>
      </c>
      <c r="D13" s="11">
        <v>0</v>
      </c>
      <c r="E13" s="12">
        <v>5.1497636699194826E-3</v>
      </c>
      <c r="F13" s="11">
        <f t="shared" si="0"/>
        <v>-5.1497636699194826E-3</v>
      </c>
    </row>
    <row r="14" spans="1:6" x14ac:dyDescent="0.35">
      <c r="A14" s="10" t="s">
        <v>17</v>
      </c>
      <c r="B14" s="10" t="s">
        <v>92</v>
      </c>
      <c r="C14" s="7" t="s">
        <v>67</v>
      </c>
      <c r="D14" s="11">
        <v>0</v>
      </c>
      <c r="E14" s="12">
        <v>7.5884961563521536E-5</v>
      </c>
      <c r="F14" s="11">
        <f t="shared" si="0"/>
        <v>-7.5884961563521536E-5</v>
      </c>
    </row>
    <row r="15" spans="1:6" x14ac:dyDescent="0.35">
      <c r="A15" s="10" t="s">
        <v>18</v>
      </c>
      <c r="B15" s="10" t="s">
        <v>93</v>
      </c>
      <c r="C15" s="7" t="s">
        <v>42</v>
      </c>
      <c r="D15" s="11">
        <v>0</v>
      </c>
      <c r="E15" s="12">
        <v>6.0522507926930036E-4</v>
      </c>
      <c r="F15" s="11">
        <f t="shared" si="0"/>
        <v>-6.0522507926930036E-4</v>
      </c>
    </row>
    <row r="16" spans="1:6" x14ac:dyDescent="0.35">
      <c r="A16" s="10" t="s">
        <v>19</v>
      </c>
      <c r="B16" s="10" t="s">
        <v>43</v>
      </c>
      <c r="C16" s="7" t="s">
        <v>44</v>
      </c>
      <c r="D16" s="11">
        <v>0</v>
      </c>
      <c r="E16" s="12">
        <v>7.1066909554384772E-6</v>
      </c>
      <c r="F16" s="11">
        <f t="shared" si="0"/>
        <v>-7.1066909554384772E-6</v>
      </c>
    </row>
    <row r="17" spans="1:6" x14ac:dyDescent="0.35">
      <c r="A17" s="10" t="s">
        <v>20</v>
      </c>
      <c r="B17" s="10" t="s">
        <v>94</v>
      </c>
      <c r="C17" s="7" t="s">
        <v>68</v>
      </c>
      <c r="D17" s="11">
        <v>1</v>
      </c>
      <c r="E17" s="12">
        <v>0.99996729493685521</v>
      </c>
      <c r="F17" s="11">
        <f t="shared" si="0"/>
        <v>3.2705063144788937E-5</v>
      </c>
    </row>
    <row r="18" spans="1:6" x14ac:dyDescent="0.35">
      <c r="A18" s="10" t="s">
        <v>21</v>
      </c>
      <c r="B18" s="10" t="s">
        <v>110</v>
      </c>
      <c r="C18" s="7" t="s">
        <v>69</v>
      </c>
      <c r="D18" s="11">
        <v>1</v>
      </c>
      <c r="E18" s="12">
        <v>0.99999380308840369</v>
      </c>
      <c r="F18" s="11">
        <f t="shared" si="0"/>
        <v>6.1969115963123045E-6</v>
      </c>
    </row>
    <row r="19" spans="1:6" x14ac:dyDescent="0.35">
      <c r="A19" s="10" t="s">
        <v>22</v>
      </c>
      <c r="B19" s="10" t="s">
        <v>95</v>
      </c>
      <c r="C19" s="7" t="s">
        <v>70</v>
      </c>
      <c r="D19" s="11">
        <v>1</v>
      </c>
      <c r="E19" s="12">
        <v>0.99785716370355504</v>
      </c>
      <c r="F19" s="11">
        <f t="shared" si="0"/>
        <v>2.142836296444961E-3</v>
      </c>
    </row>
    <row r="20" spans="1:6" x14ac:dyDescent="0.35">
      <c r="A20" s="10" t="s">
        <v>23</v>
      </c>
      <c r="B20" s="10" t="s">
        <v>96</v>
      </c>
      <c r="C20" s="7" t="s">
        <v>71</v>
      </c>
      <c r="D20" s="11">
        <v>1</v>
      </c>
      <c r="E20" s="12">
        <v>0.99723285294232267</v>
      </c>
      <c r="F20" s="11">
        <f t="shared" si="0"/>
        <v>2.7671470576773327E-3</v>
      </c>
    </row>
    <row r="21" spans="1:6" x14ac:dyDescent="0.35">
      <c r="A21" s="10" t="s">
        <v>24</v>
      </c>
      <c r="B21" s="10" t="s">
        <v>97</v>
      </c>
      <c r="C21" s="7" t="s">
        <v>72</v>
      </c>
      <c r="D21" s="11">
        <v>1</v>
      </c>
      <c r="E21" s="12">
        <v>0.99924322253882925</v>
      </c>
      <c r="F21" s="11">
        <f t="shared" si="0"/>
        <v>7.5677746117075451E-4</v>
      </c>
    </row>
    <row r="22" spans="1:6" x14ac:dyDescent="0.35">
      <c r="A22" s="10" t="s">
        <v>45</v>
      </c>
      <c r="B22" s="10" t="s">
        <v>98</v>
      </c>
      <c r="C22" s="7" t="s">
        <v>73</v>
      </c>
      <c r="D22" s="11">
        <v>1</v>
      </c>
      <c r="E22" s="12">
        <v>0.99779119951274609</v>
      </c>
      <c r="F22" s="11">
        <f t="shared" si="0"/>
        <v>2.2088004872539146E-3</v>
      </c>
    </row>
    <row r="23" spans="1:6" x14ac:dyDescent="0.35">
      <c r="A23" s="10" t="s">
        <v>46</v>
      </c>
      <c r="B23" s="10" t="s">
        <v>111</v>
      </c>
      <c r="C23" s="7" t="s">
        <v>74</v>
      </c>
      <c r="D23" s="11">
        <v>1</v>
      </c>
      <c r="E23" s="12">
        <v>0.99964998642191227</v>
      </c>
      <c r="F23" s="11">
        <f t="shared" si="0"/>
        <v>3.5001357808772671E-4</v>
      </c>
    </row>
    <row r="24" spans="1:6" x14ac:dyDescent="0.35">
      <c r="A24" s="10" t="s">
        <v>47</v>
      </c>
      <c r="B24" s="10" t="s">
        <v>99</v>
      </c>
      <c r="C24" s="7" t="s">
        <v>75</v>
      </c>
      <c r="D24" s="11">
        <v>1</v>
      </c>
      <c r="E24" s="12">
        <v>0.99996043708252458</v>
      </c>
      <c r="F24" s="11">
        <f t="shared" si="0"/>
        <v>3.9562917475421955E-5</v>
      </c>
    </row>
    <row r="25" spans="1:6" x14ac:dyDescent="0.35">
      <c r="A25" s="10" t="s">
        <v>48</v>
      </c>
      <c r="B25" s="10" t="s">
        <v>100</v>
      </c>
      <c r="C25" s="7" t="s">
        <v>76</v>
      </c>
      <c r="D25" s="11">
        <v>1</v>
      </c>
      <c r="E25" s="12">
        <v>0.99649169544747729</v>
      </c>
      <c r="F25" s="11">
        <f t="shared" si="0"/>
        <v>3.5083045525227119E-3</v>
      </c>
    </row>
    <row r="26" spans="1:6" x14ac:dyDescent="0.35">
      <c r="A26" s="10" t="s">
        <v>49</v>
      </c>
      <c r="B26" s="10" t="s">
        <v>101</v>
      </c>
      <c r="C26" s="7" t="s">
        <v>77</v>
      </c>
      <c r="D26" s="11">
        <v>1</v>
      </c>
      <c r="E26" s="12">
        <v>0.99978593861232734</v>
      </c>
      <c r="F26" s="11">
        <f t="shared" si="0"/>
        <v>2.1406138767265936E-4</v>
      </c>
    </row>
    <row r="27" spans="1:6" x14ac:dyDescent="0.35">
      <c r="A27" s="10" t="s">
        <v>51</v>
      </c>
      <c r="B27" s="10" t="s">
        <v>102</v>
      </c>
      <c r="C27" s="7" t="s">
        <v>78</v>
      </c>
      <c r="D27" s="11">
        <v>1</v>
      </c>
      <c r="E27" s="12">
        <v>0.99971379001337346</v>
      </c>
      <c r="F27" s="11">
        <f t="shared" si="0"/>
        <v>2.8620998662653996E-4</v>
      </c>
    </row>
    <row r="28" spans="1:6" x14ac:dyDescent="0.35">
      <c r="A28" s="10" t="s">
        <v>52</v>
      </c>
      <c r="B28" s="10" t="s">
        <v>103</v>
      </c>
      <c r="C28" s="7" t="s">
        <v>79</v>
      </c>
      <c r="D28" s="11">
        <v>1</v>
      </c>
      <c r="E28" s="12">
        <v>0.99992577557935469</v>
      </c>
      <c r="F28" s="11">
        <f t="shared" si="0"/>
        <v>7.4224420645307987E-5</v>
      </c>
    </row>
    <row r="29" spans="1:6" x14ac:dyDescent="0.35">
      <c r="A29" s="10" t="s">
        <v>53</v>
      </c>
      <c r="B29" s="10" t="s">
        <v>104</v>
      </c>
      <c r="C29" s="7" t="s">
        <v>80</v>
      </c>
      <c r="D29" s="11">
        <v>1</v>
      </c>
      <c r="E29" s="12">
        <v>0.99999759311722025</v>
      </c>
      <c r="F29" s="11">
        <f t="shared" si="0"/>
        <v>2.4068827797485426E-6</v>
      </c>
    </row>
    <row r="30" spans="1:6" x14ac:dyDescent="0.35">
      <c r="A30" s="10" t="s">
        <v>54</v>
      </c>
      <c r="B30" s="10" t="s">
        <v>105</v>
      </c>
      <c r="C30" s="7" t="s">
        <v>81</v>
      </c>
      <c r="D30" s="11">
        <v>1</v>
      </c>
      <c r="E30" s="12">
        <v>0.99855419717165617</v>
      </c>
      <c r="F30" s="11">
        <f t="shared" si="0"/>
        <v>1.445802828343834E-3</v>
      </c>
    </row>
    <row r="31" spans="1:6" x14ac:dyDescent="0.35">
      <c r="A31" s="10" t="s">
        <v>55</v>
      </c>
      <c r="B31" s="10" t="s">
        <v>106</v>
      </c>
      <c r="C31" s="7" t="s">
        <v>82</v>
      </c>
      <c r="D31" s="11">
        <v>1</v>
      </c>
      <c r="E31" s="12">
        <v>0.99999143458986928</v>
      </c>
      <c r="F31" s="11">
        <f t="shared" si="0"/>
        <v>8.5654101307230945E-6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E562-99B1-4505-8337-F0F79DD97712}">
  <dimension ref="A1:E24"/>
  <sheetViews>
    <sheetView tabSelected="1" topLeftCell="B1" workbookViewId="0">
      <selection activeCell="B18" sqref="B18"/>
    </sheetView>
  </sheetViews>
  <sheetFormatPr defaultRowHeight="14.5" x14ac:dyDescent="0.35"/>
  <cols>
    <col min="1" max="1" width="3.453125" bestFit="1" customWidth="1"/>
    <col min="2" max="2" width="50" bestFit="1" customWidth="1"/>
    <col min="3" max="3" width="10.36328125" bestFit="1" customWidth="1"/>
    <col min="4" max="4" width="11.08984375" bestFit="1" customWidth="1"/>
    <col min="5" max="5" width="10.90625" bestFit="1" customWidth="1"/>
  </cols>
  <sheetData>
    <row r="1" spans="1:5" x14ac:dyDescent="0.35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</row>
    <row r="2" spans="1:5" x14ac:dyDescent="0.35">
      <c r="A2" s="17" t="s">
        <v>5</v>
      </c>
      <c r="B2" s="18" t="s">
        <v>112</v>
      </c>
      <c r="C2" s="19" t="s">
        <v>135</v>
      </c>
      <c r="D2" s="12">
        <v>0.20372144145052257</v>
      </c>
      <c r="E2" s="20" t="str">
        <f>IF((D2-0.5)&gt;0.2,"Distress","Non Distress")</f>
        <v>Non Distress</v>
      </c>
    </row>
    <row r="3" spans="1:5" x14ac:dyDescent="0.35">
      <c r="A3" s="17" t="s">
        <v>6</v>
      </c>
      <c r="B3" s="21" t="s">
        <v>113</v>
      </c>
      <c r="C3" s="19" t="s">
        <v>136</v>
      </c>
      <c r="D3" s="12">
        <v>4.8570748194698421E-5</v>
      </c>
      <c r="E3" s="20" t="str">
        <f t="shared" ref="E3:E24" si="0">IF((D3-0.5)&gt;0.2,"Distress","Non Distress")</f>
        <v>Non Distress</v>
      </c>
    </row>
    <row r="4" spans="1:5" x14ac:dyDescent="0.35">
      <c r="A4" s="17" t="s">
        <v>7</v>
      </c>
      <c r="B4" s="21" t="s">
        <v>114</v>
      </c>
      <c r="C4" s="19" t="s">
        <v>137</v>
      </c>
      <c r="D4" s="12">
        <v>0.36149336515556424</v>
      </c>
      <c r="E4" s="20" t="str">
        <f t="shared" si="0"/>
        <v>Non Distress</v>
      </c>
    </row>
    <row r="5" spans="1:5" x14ac:dyDescent="0.35">
      <c r="A5" s="17" t="s">
        <v>8</v>
      </c>
      <c r="B5" s="21" t="s">
        <v>115</v>
      </c>
      <c r="C5" s="19" t="s">
        <v>138</v>
      </c>
      <c r="D5" s="12">
        <v>4.7048198958937748E-4</v>
      </c>
      <c r="E5" s="20" t="str">
        <f t="shared" si="0"/>
        <v>Non Distress</v>
      </c>
    </row>
    <row r="6" spans="1:5" x14ac:dyDescent="0.35">
      <c r="A6" s="17" t="s">
        <v>9</v>
      </c>
      <c r="B6" s="21" t="s">
        <v>116</v>
      </c>
      <c r="C6" s="19" t="s">
        <v>139</v>
      </c>
      <c r="D6" s="12">
        <v>0.99999643412075334</v>
      </c>
      <c r="E6" s="20" t="str">
        <f>IF((D6-0.5)&gt;0.2,"Distress","Non Distress")</f>
        <v>Distress</v>
      </c>
    </row>
    <row r="7" spans="1:5" x14ac:dyDescent="0.35">
      <c r="A7" s="17" t="s">
        <v>10</v>
      </c>
      <c r="B7" s="21" t="s">
        <v>117</v>
      </c>
      <c r="C7" s="19" t="s">
        <v>140</v>
      </c>
      <c r="D7" s="12">
        <v>0.99999831902834224</v>
      </c>
      <c r="E7" s="20" t="str">
        <f t="shared" si="0"/>
        <v>Distress</v>
      </c>
    </row>
    <row r="8" spans="1:5" x14ac:dyDescent="0.35">
      <c r="A8" s="17" t="s">
        <v>11</v>
      </c>
      <c r="B8" s="21" t="s">
        <v>118</v>
      </c>
      <c r="C8" s="19" t="s">
        <v>141</v>
      </c>
      <c r="D8" s="12">
        <v>1.3536172230408317E-2</v>
      </c>
      <c r="E8" s="20" t="str">
        <f t="shared" si="0"/>
        <v>Non Distress</v>
      </c>
    </row>
    <row r="9" spans="1:5" x14ac:dyDescent="0.35">
      <c r="A9" s="15" t="s">
        <v>12</v>
      </c>
      <c r="B9" s="21" t="s">
        <v>119</v>
      </c>
      <c r="C9" s="19" t="s">
        <v>142</v>
      </c>
      <c r="D9" s="12">
        <v>6.7863551497074348E-3</v>
      </c>
      <c r="E9" s="20" t="str">
        <f t="shared" si="0"/>
        <v>Non Distress</v>
      </c>
    </row>
    <row r="10" spans="1:5" x14ac:dyDescent="0.35">
      <c r="A10" s="17" t="s">
        <v>13</v>
      </c>
      <c r="B10" s="21" t="s">
        <v>120</v>
      </c>
      <c r="C10" s="19" t="s">
        <v>143</v>
      </c>
      <c r="D10" s="12">
        <v>4.0456485437910916E-2</v>
      </c>
      <c r="E10" s="20" t="str">
        <f t="shared" si="0"/>
        <v>Non Distress</v>
      </c>
    </row>
    <row r="11" spans="1:5" x14ac:dyDescent="0.35">
      <c r="A11" s="17" t="s">
        <v>14</v>
      </c>
      <c r="B11" s="18" t="s">
        <v>121</v>
      </c>
      <c r="C11" s="19" t="s">
        <v>144</v>
      </c>
      <c r="D11" s="12">
        <v>0.99995488904222274</v>
      </c>
      <c r="E11" s="20" t="str">
        <f t="shared" si="0"/>
        <v>Distress</v>
      </c>
    </row>
    <row r="12" spans="1:5" x14ac:dyDescent="0.35">
      <c r="A12" s="15" t="s">
        <v>15</v>
      </c>
      <c r="B12" s="21" t="s">
        <v>122</v>
      </c>
      <c r="C12" s="19" t="s">
        <v>145</v>
      </c>
      <c r="D12" s="12">
        <v>8.2244232533926542E-2</v>
      </c>
      <c r="E12" s="20" t="str">
        <f t="shared" si="0"/>
        <v>Non Distress</v>
      </c>
    </row>
    <row r="13" spans="1:5" x14ac:dyDescent="0.35">
      <c r="A13" s="17" t="s">
        <v>16</v>
      </c>
      <c r="B13" s="21" t="s">
        <v>123</v>
      </c>
      <c r="C13" s="19" t="s">
        <v>146</v>
      </c>
      <c r="D13" s="12">
        <v>0.96480782977080848</v>
      </c>
      <c r="E13" s="20" t="str">
        <f t="shared" si="0"/>
        <v>Distress</v>
      </c>
    </row>
    <row r="14" spans="1:5" x14ac:dyDescent="0.35">
      <c r="A14" s="17" t="s">
        <v>17</v>
      </c>
      <c r="B14" s="21" t="s">
        <v>124</v>
      </c>
      <c r="C14" s="19" t="s">
        <v>147</v>
      </c>
      <c r="D14" s="12">
        <v>0.32789438999018322</v>
      </c>
      <c r="E14" s="20" t="str">
        <f t="shared" si="0"/>
        <v>Non Distress</v>
      </c>
    </row>
    <row r="15" spans="1:5" x14ac:dyDescent="0.35">
      <c r="A15" s="17" t="s">
        <v>18</v>
      </c>
      <c r="B15" s="21" t="s">
        <v>125</v>
      </c>
      <c r="C15" s="19" t="s">
        <v>148</v>
      </c>
      <c r="D15" s="12">
        <v>4.7518351806610015E-2</v>
      </c>
      <c r="E15" s="20" t="str">
        <f t="shared" si="0"/>
        <v>Non Distress</v>
      </c>
    </row>
    <row r="16" spans="1:5" x14ac:dyDescent="0.35">
      <c r="A16" s="17" t="s">
        <v>19</v>
      </c>
      <c r="B16" s="21" t="s">
        <v>126</v>
      </c>
      <c r="C16" s="19" t="s">
        <v>149</v>
      </c>
      <c r="D16" s="12">
        <v>0.98654959803268139</v>
      </c>
      <c r="E16" s="20" t="str">
        <f t="shared" si="0"/>
        <v>Distress</v>
      </c>
    </row>
    <row r="17" spans="1:5" x14ac:dyDescent="0.35">
      <c r="A17" s="15" t="s">
        <v>20</v>
      </c>
      <c r="B17" s="21" t="s">
        <v>127</v>
      </c>
      <c r="C17" s="19" t="s">
        <v>150</v>
      </c>
      <c r="D17" s="12">
        <v>3.0540403200801647E-4</v>
      </c>
      <c r="E17" s="20" t="str">
        <f t="shared" si="0"/>
        <v>Non Distress</v>
      </c>
    </row>
    <row r="18" spans="1:5" x14ac:dyDescent="0.35">
      <c r="A18" s="17" t="s">
        <v>21</v>
      </c>
      <c r="B18" s="21" t="s">
        <v>128</v>
      </c>
      <c r="C18" s="19" t="s">
        <v>151</v>
      </c>
      <c r="D18" s="12">
        <v>2.4712914123248275E-4</v>
      </c>
      <c r="E18" s="20" t="str">
        <f t="shared" si="0"/>
        <v>Non Distress</v>
      </c>
    </row>
    <row r="19" spans="1:5" x14ac:dyDescent="0.35">
      <c r="A19" s="17" t="s">
        <v>22</v>
      </c>
      <c r="B19" s="21" t="s">
        <v>129</v>
      </c>
      <c r="C19" s="19" t="s">
        <v>152</v>
      </c>
      <c r="D19" s="12">
        <v>0.98646101341395076</v>
      </c>
      <c r="E19" s="20" t="str">
        <f t="shared" si="0"/>
        <v>Distress</v>
      </c>
    </row>
    <row r="20" spans="1:5" x14ac:dyDescent="0.35">
      <c r="A20" s="17" t="s">
        <v>23</v>
      </c>
      <c r="B20" s="21" t="s">
        <v>130</v>
      </c>
      <c r="C20" s="19" t="s">
        <v>153</v>
      </c>
      <c r="D20" s="12">
        <v>7.41032805674946E-4</v>
      </c>
      <c r="E20" s="20" t="str">
        <f t="shared" si="0"/>
        <v>Non Distress</v>
      </c>
    </row>
    <row r="21" spans="1:5" x14ac:dyDescent="0.35">
      <c r="A21" s="15" t="s">
        <v>24</v>
      </c>
      <c r="B21" s="18" t="s">
        <v>131</v>
      </c>
      <c r="C21" s="19" t="s">
        <v>154</v>
      </c>
      <c r="D21" s="12">
        <v>0.9999833697442394</v>
      </c>
      <c r="E21" s="20" t="str">
        <f t="shared" si="0"/>
        <v>Distress</v>
      </c>
    </row>
    <row r="22" spans="1:5" x14ac:dyDescent="0.35">
      <c r="A22" s="17" t="s">
        <v>45</v>
      </c>
      <c r="B22" s="21" t="s">
        <v>132</v>
      </c>
      <c r="C22" s="19" t="s">
        <v>155</v>
      </c>
      <c r="D22" s="12">
        <v>0.99999452865908534</v>
      </c>
      <c r="E22" s="20" t="str">
        <f>IF((D22-0.5)&gt;0.2,"Distress","Non Distress")</f>
        <v>Distress</v>
      </c>
    </row>
    <row r="23" spans="1:5" x14ac:dyDescent="0.35">
      <c r="A23" s="17" t="s">
        <v>46</v>
      </c>
      <c r="B23" s="21" t="s">
        <v>133</v>
      </c>
      <c r="C23" s="19" t="s">
        <v>156</v>
      </c>
      <c r="D23" s="12">
        <v>0.99990535294111649</v>
      </c>
      <c r="E23" s="20" t="str">
        <f t="shared" si="0"/>
        <v>Distress</v>
      </c>
    </row>
    <row r="24" spans="1:5" x14ac:dyDescent="0.35">
      <c r="A24" s="17" t="s">
        <v>47</v>
      </c>
      <c r="B24" s="21" t="s">
        <v>134</v>
      </c>
      <c r="C24" s="19" t="s">
        <v>157</v>
      </c>
      <c r="D24" s="12">
        <v>0.99700403498848911</v>
      </c>
      <c r="E24" s="20" t="str">
        <f t="shared" si="0"/>
        <v>Distress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Output 1</vt:lpstr>
      <vt:lpstr>Output 2</vt:lpstr>
      <vt:lpstr>Output 3</vt:lpstr>
      <vt:lpstr>Output 4</vt:lpstr>
      <vt:lpstr>'Output 3'!_Hlk173187818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2024-07-29T16:24:52Z</dcterms:created>
  <dcterms:modified xsi:type="dcterms:W3CDTF">2024-08-07T14:16:27Z</dcterms:modified>
</cp:coreProperties>
</file>
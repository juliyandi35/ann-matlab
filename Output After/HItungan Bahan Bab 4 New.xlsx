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tadewi/Documents/Pribadi/Sinta/Beasiswa S2/Semester 4/"/>
    </mc:Choice>
  </mc:AlternateContent>
  <xr:revisionPtr revIDLastSave="0" documentId="13_ncr:1_{C28A9C20-2055-0F45-A969-CCF2EEE63129}" xr6:coauthVersionLast="47" xr6:coauthVersionMax="47" xr10:uidLastSave="{00000000-0000-0000-0000-000000000000}"/>
  <bookViews>
    <workbookView xWindow="0" yWindow="500" windowWidth="33600" windowHeight="19040" activeTab="1" xr2:uid="{5B493E4D-7046-5C4E-862E-617C96AF88CA}"/>
  </bookViews>
  <sheets>
    <sheet name="Data Testing" sheetId="1" r:id="rId1"/>
    <sheet name="Data Training" sheetId="3" r:id="rId2"/>
    <sheet name="Distress" sheetId="2" r:id="rId3"/>
    <sheet name="Sheet1" sheetId="4" r:id="rId4"/>
    <sheet name="Data Training ss" sheetId="5" r:id="rId5"/>
    <sheet name="Data Testing s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5" i="3" l="1"/>
  <c r="M119" i="3"/>
  <c r="R119" i="3"/>
  <c r="S119" i="3" s="1"/>
  <c r="T119" i="3" s="1"/>
  <c r="L119" i="3"/>
  <c r="K119" i="3"/>
  <c r="J119" i="3"/>
  <c r="I119" i="3"/>
  <c r="G119" i="3"/>
  <c r="H119" i="3"/>
  <c r="F119" i="3"/>
  <c r="E119" i="3"/>
  <c r="R219" i="3"/>
  <c r="L290" i="3"/>
  <c r="X225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X214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X213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X209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X206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X205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X204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G203" i="6"/>
  <c r="F203" i="6"/>
  <c r="E203" i="6"/>
  <c r="X197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X193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X190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X189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G175" i="6"/>
  <c r="F175" i="6"/>
  <c r="E175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X166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G146" i="6"/>
  <c r="F146" i="6"/>
  <c r="E146" i="6"/>
  <c r="L9" i="6"/>
  <c r="K9" i="6"/>
  <c r="J9" i="6"/>
  <c r="I9" i="6"/>
  <c r="H9" i="6"/>
  <c r="L8" i="6"/>
  <c r="L175" i="6" s="1"/>
  <c r="K8" i="6"/>
  <c r="J8" i="6"/>
  <c r="I8" i="6"/>
  <c r="H8" i="6"/>
  <c r="H175" i="6" s="1"/>
  <c r="L6" i="6"/>
  <c r="K6" i="6"/>
  <c r="J6" i="6"/>
  <c r="I6" i="6"/>
  <c r="H6" i="6"/>
  <c r="L5" i="6"/>
  <c r="K5" i="6"/>
  <c r="J5" i="6"/>
  <c r="J146" i="6" s="1"/>
  <c r="I5" i="6"/>
  <c r="H5" i="6"/>
  <c r="H146" i="6" s="1"/>
  <c r="X303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C303" i="5"/>
  <c r="X302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X301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C301" i="5"/>
  <c r="X300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C300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K299" i="5"/>
  <c r="J299" i="5"/>
  <c r="I299" i="5"/>
  <c r="H299" i="5"/>
  <c r="G299" i="5"/>
  <c r="F299" i="5"/>
  <c r="E299" i="5"/>
  <c r="C299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F298" i="5"/>
  <c r="E298" i="5"/>
  <c r="C298" i="5"/>
  <c r="X297" i="5"/>
  <c r="W297" i="5"/>
  <c r="V297" i="5"/>
  <c r="U297" i="5"/>
  <c r="T297" i="5"/>
  <c r="S297" i="5"/>
  <c r="R297" i="5"/>
  <c r="Q297" i="5"/>
  <c r="P297" i="5"/>
  <c r="O297" i="5"/>
  <c r="N297" i="5"/>
  <c r="M297" i="5"/>
  <c r="L297" i="5"/>
  <c r="K297" i="5"/>
  <c r="J297" i="5"/>
  <c r="I297" i="5"/>
  <c r="H297" i="5"/>
  <c r="G297" i="5"/>
  <c r="F297" i="5"/>
  <c r="E297" i="5"/>
  <c r="C297" i="5"/>
  <c r="X296" i="5"/>
  <c r="W296" i="5"/>
  <c r="V296" i="5"/>
  <c r="U296" i="5"/>
  <c r="T296" i="5"/>
  <c r="S296" i="5"/>
  <c r="R296" i="5"/>
  <c r="Q296" i="5"/>
  <c r="P296" i="5"/>
  <c r="O296" i="5"/>
  <c r="N296" i="5"/>
  <c r="M296" i="5"/>
  <c r="L296" i="5"/>
  <c r="K296" i="5"/>
  <c r="J296" i="5"/>
  <c r="I296" i="5"/>
  <c r="H296" i="5"/>
  <c r="G296" i="5"/>
  <c r="F296" i="5"/>
  <c r="E296" i="5"/>
  <c r="C296" i="5"/>
  <c r="X295" i="5"/>
  <c r="W295" i="5"/>
  <c r="V295" i="5"/>
  <c r="U295" i="5"/>
  <c r="T295" i="5"/>
  <c r="S295" i="5"/>
  <c r="R295" i="5"/>
  <c r="Q295" i="5"/>
  <c r="P295" i="5"/>
  <c r="O295" i="5"/>
  <c r="N295" i="5"/>
  <c r="M295" i="5"/>
  <c r="L295" i="5"/>
  <c r="K295" i="5"/>
  <c r="J295" i="5"/>
  <c r="I295" i="5"/>
  <c r="H295" i="5"/>
  <c r="G295" i="5"/>
  <c r="F295" i="5"/>
  <c r="E295" i="5"/>
  <c r="C295" i="5"/>
  <c r="X294" i="5"/>
  <c r="W294" i="5"/>
  <c r="V294" i="5"/>
  <c r="U294" i="5"/>
  <c r="T294" i="5"/>
  <c r="S294" i="5"/>
  <c r="R294" i="5"/>
  <c r="Q294" i="5"/>
  <c r="P294" i="5"/>
  <c r="O294" i="5"/>
  <c r="N294" i="5"/>
  <c r="M294" i="5"/>
  <c r="L294" i="5"/>
  <c r="K294" i="5"/>
  <c r="J294" i="5"/>
  <c r="I294" i="5"/>
  <c r="H294" i="5"/>
  <c r="G294" i="5"/>
  <c r="F294" i="5"/>
  <c r="E294" i="5"/>
  <c r="C294" i="5"/>
  <c r="X293" i="5"/>
  <c r="W293" i="5"/>
  <c r="V293" i="5"/>
  <c r="U293" i="5"/>
  <c r="T293" i="5"/>
  <c r="S293" i="5"/>
  <c r="R293" i="5"/>
  <c r="Q293" i="5"/>
  <c r="P293" i="5"/>
  <c r="O293" i="5"/>
  <c r="N293" i="5"/>
  <c r="M293" i="5"/>
  <c r="L293" i="5"/>
  <c r="K293" i="5"/>
  <c r="J293" i="5"/>
  <c r="I293" i="5"/>
  <c r="H293" i="5"/>
  <c r="G293" i="5"/>
  <c r="F293" i="5"/>
  <c r="E293" i="5"/>
  <c r="C293" i="5"/>
  <c r="X292" i="5"/>
  <c r="W292" i="5"/>
  <c r="V292" i="5"/>
  <c r="U292" i="5"/>
  <c r="T292" i="5"/>
  <c r="S292" i="5"/>
  <c r="R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C292" i="5"/>
  <c r="X291" i="5"/>
  <c r="W291" i="5"/>
  <c r="V291" i="5"/>
  <c r="U291" i="5"/>
  <c r="T291" i="5"/>
  <c r="S291" i="5"/>
  <c r="R291" i="5"/>
  <c r="Q291" i="5"/>
  <c r="P291" i="5"/>
  <c r="O291" i="5"/>
  <c r="N291" i="5"/>
  <c r="M291" i="5"/>
  <c r="L291" i="5"/>
  <c r="K291" i="5"/>
  <c r="J291" i="5"/>
  <c r="I291" i="5"/>
  <c r="H291" i="5"/>
  <c r="G291" i="5"/>
  <c r="F291" i="5"/>
  <c r="E291" i="5"/>
  <c r="C291" i="5"/>
  <c r="X290" i="5"/>
  <c r="W290" i="5"/>
  <c r="V290" i="5"/>
  <c r="U290" i="5"/>
  <c r="T290" i="5"/>
  <c r="S290" i="5"/>
  <c r="R290" i="5"/>
  <c r="Q290" i="5"/>
  <c r="P290" i="5"/>
  <c r="O290" i="5"/>
  <c r="N290" i="5"/>
  <c r="M290" i="5"/>
  <c r="L290" i="5"/>
  <c r="K290" i="5"/>
  <c r="J290" i="5"/>
  <c r="I290" i="5"/>
  <c r="H290" i="5"/>
  <c r="G290" i="5"/>
  <c r="F290" i="5"/>
  <c r="E290" i="5"/>
  <c r="C290" i="5"/>
  <c r="X289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C289" i="5"/>
  <c r="X288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X287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X286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X284" i="5"/>
  <c r="W284" i="5"/>
  <c r="V284" i="5"/>
  <c r="U284" i="5"/>
  <c r="T284" i="5"/>
  <c r="S284" i="5"/>
  <c r="R284" i="5"/>
  <c r="Q284" i="5"/>
  <c r="P284" i="5"/>
  <c r="O284" i="5"/>
  <c r="N284" i="5"/>
  <c r="M284" i="5"/>
  <c r="L284" i="5"/>
  <c r="K284" i="5"/>
  <c r="J284" i="5"/>
  <c r="I284" i="5"/>
  <c r="H284" i="5"/>
  <c r="G284" i="5"/>
  <c r="F284" i="5"/>
  <c r="E284" i="5"/>
  <c r="X283" i="5"/>
  <c r="W283" i="5"/>
  <c r="V283" i="5"/>
  <c r="U283" i="5"/>
  <c r="T283" i="5"/>
  <c r="S283" i="5"/>
  <c r="R283" i="5"/>
  <c r="Q283" i="5"/>
  <c r="P283" i="5"/>
  <c r="O283" i="5"/>
  <c r="N283" i="5"/>
  <c r="M283" i="5"/>
  <c r="L283" i="5"/>
  <c r="K283" i="5"/>
  <c r="J283" i="5"/>
  <c r="I283" i="5"/>
  <c r="H283" i="5"/>
  <c r="G283" i="5"/>
  <c r="F283" i="5"/>
  <c r="E283" i="5"/>
  <c r="X282" i="5"/>
  <c r="W282" i="5"/>
  <c r="V282" i="5"/>
  <c r="U282" i="5"/>
  <c r="T282" i="5"/>
  <c r="S282" i="5"/>
  <c r="R282" i="5"/>
  <c r="Q282" i="5"/>
  <c r="P282" i="5"/>
  <c r="O282" i="5"/>
  <c r="N282" i="5"/>
  <c r="M282" i="5"/>
  <c r="L282" i="5"/>
  <c r="K282" i="5"/>
  <c r="J282" i="5"/>
  <c r="I282" i="5"/>
  <c r="H282" i="5"/>
  <c r="G282" i="5"/>
  <c r="F282" i="5"/>
  <c r="E282" i="5"/>
  <c r="X281" i="5"/>
  <c r="W281" i="5"/>
  <c r="V281" i="5"/>
  <c r="U281" i="5"/>
  <c r="T281" i="5"/>
  <c r="S281" i="5"/>
  <c r="R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X280" i="5"/>
  <c r="W280" i="5"/>
  <c r="V280" i="5"/>
  <c r="U280" i="5"/>
  <c r="T280" i="5"/>
  <c r="S280" i="5"/>
  <c r="R280" i="5"/>
  <c r="Q280" i="5"/>
  <c r="P280" i="5"/>
  <c r="O280" i="5"/>
  <c r="N280" i="5"/>
  <c r="M280" i="5"/>
  <c r="L280" i="5"/>
  <c r="K280" i="5"/>
  <c r="J280" i="5"/>
  <c r="I280" i="5"/>
  <c r="H280" i="5"/>
  <c r="G280" i="5"/>
  <c r="F280" i="5"/>
  <c r="E280" i="5"/>
  <c r="X279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X278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X277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X276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X275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X274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X267" i="5"/>
  <c r="W267" i="5"/>
  <c r="V267" i="5"/>
  <c r="U267" i="5"/>
  <c r="T267" i="5"/>
  <c r="S267" i="5"/>
  <c r="R267" i="5"/>
  <c r="Q267" i="5"/>
  <c r="P267" i="5"/>
  <c r="O267" i="5"/>
  <c r="N267" i="5"/>
  <c r="M267" i="5"/>
  <c r="L267" i="5"/>
  <c r="K267" i="5"/>
  <c r="J267" i="5"/>
  <c r="I267" i="5"/>
  <c r="H267" i="5"/>
  <c r="G267" i="5"/>
  <c r="F267" i="5"/>
  <c r="E267" i="5"/>
  <c r="C267" i="5"/>
  <c r="X266" i="5"/>
  <c r="W266" i="5"/>
  <c r="V266" i="5"/>
  <c r="U266" i="5"/>
  <c r="T266" i="5"/>
  <c r="S266" i="5"/>
  <c r="R266" i="5"/>
  <c r="Q266" i="5"/>
  <c r="P266" i="5"/>
  <c r="O266" i="5"/>
  <c r="N266" i="5"/>
  <c r="M266" i="5"/>
  <c r="L266" i="5"/>
  <c r="K266" i="5"/>
  <c r="J266" i="5"/>
  <c r="I266" i="5"/>
  <c r="H266" i="5"/>
  <c r="G266" i="5"/>
  <c r="F266" i="5"/>
  <c r="E266" i="5"/>
  <c r="C266" i="5"/>
  <c r="X265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C265" i="5"/>
  <c r="X264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C264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C263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C262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C261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C260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C259" i="5"/>
  <c r="X258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C258" i="5"/>
  <c r="X257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C257" i="5"/>
  <c r="X256" i="5"/>
  <c r="W256" i="5"/>
  <c r="V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C256" i="5"/>
  <c r="X255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C255" i="5"/>
  <c r="X254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C254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C253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C302" i="5" s="1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C223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C220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C219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C252" i="5" s="1"/>
  <c r="C288" i="5" s="1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C251" i="5" s="1"/>
  <c r="C287" i="5" s="1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C250" i="5" s="1"/>
  <c r="C286" i="5" s="1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C249" i="5" s="1"/>
  <c r="C285" i="5" s="1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C248" i="5" s="1"/>
  <c r="C284" i="5" s="1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C247" i="5" s="1"/>
  <c r="C283" i="5" s="1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C246" i="5" s="1"/>
  <c r="C282" i="5" s="1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C245" i="5" s="1"/>
  <c r="C281" i="5" s="1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C244" i="5" s="1"/>
  <c r="C280" i="5" s="1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C243" i="5" s="1"/>
  <c r="C279" i="5" s="1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C242" i="5" s="1"/>
  <c r="C278" i="5" s="1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C241" i="5" s="1"/>
  <c r="C277" i="5" s="1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C240" i="5" s="1"/>
  <c r="C276" i="5" s="1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C239" i="5" s="1"/>
  <c r="C275" i="5" s="1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C238" i="5" s="1"/>
  <c r="C274" i="5" s="1"/>
  <c r="U194" i="5"/>
  <c r="U256" i="5" s="1"/>
  <c r="E98" i="5"/>
  <c r="E253" i="5" s="1"/>
  <c r="U3" i="5"/>
  <c r="V3" i="5" s="1"/>
  <c r="W3" i="5" s="1"/>
  <c r="X3" i="5" s="1"/>
  <c r="Q3" i="5"/>
  <c r="R3" i="5" s="1"/>
  <c r="S3" i="5" s="1"/>
  <c r="T3" i="5" s="1"/>
  <c r="M3" i="5"/>
  <c r="N3" i="5" s="1"/>
  <c r="O3" i="5" s="1"/>
  <c r="P3" i="5" s="1"/>
  <c r="I3" i="5"/>
  <c r="J3" i="5" s="1"/>
  <c r="K3" i="5" s="1"/>
  <c r="L3" i="5" s="1"/>
  <c r="X223" i="1"/>
  <c r="X222" i="1"/>
  <c r="X220" i="1"/>
  <c r="X219" i="1"/>
  <c r="X209" i="1"/>
  <c r="X208" i="1"/>
  <c r="X207" i="1"/>
  <c r="X205" i="1"/>
  <c r="X204" i="1"/>
  <c r="X203" i="1"/>
  <c r="X192" i="1"/>
  <c r="X168" i="1"/>
  <c r="X167" i="1"/>
  <c r="X166" i="1"/>
  <c r="X164" i="1"/>
  <c r="X163" i="1"/>
  <c r="X154" i="1"/>
  <c r="X153" i="1"/>
  <c r="X152" i="1"/>
  <c r="X151" i="1"/>
  <c r="X150" i="1"/>
  <c r="X149" i="1"/>
  <c r="X148" i="1"/>
  <c r="X147" i="1"/>
  <c r="X146" i="1"/>
  <c r="D49" i="4"/>
  <c r="B49" i="4"/>
  <c r="U209" i="3"/>
  <c r="Q209" i="3"/>
  <c r="I219" i="3"/>
  <c r="E208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W259" i="3"/>
  <c r="V259" i="3"/>
  <c r="U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B223" i="3"/>
  <c r="T197" i="3"/>
  <c r="T259" i="3" s="1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B298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B262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B226" i="3"/>
  <c r="W234" i="3"/>
  <c r="O250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C305" i="3" s="1"/>
  <c r="B233" i="3"/>
  <c r="B305" i="3" s="1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C298" i="3"/>
  <c r="C262" i="3"/>
  <c r="B225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E296" i="3"/>
  <c r="F296" i="3"/>
  <c r="G296" i="3"/>
  <c r="H296" i="3"/>
  <c r="I296" i="3"/>
  <c r="J296" i="3"/>
  <c r="K296" i="3"/>
  <c r="D296" i="3"/>
  <c r="C296" i="3"/>
  <c r="B296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B222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B220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D256" i="3"/>
  <c r="D292" i="3"/>
  <c r="C292" i="3"/>
  <c r="B292" i="3"/>
  <c r="C256" i="3"/>
  <c r="B256" i="3"/>
  <c r="D220" i="3"/>
  <c r="C220" i="3"/>
  <c r="D182" i="1"/>
  <c r="C209" i="3"/>
  <c r="C245" i="3" s="1"/>
  <c r="C281" i="3" s="1"/>
  <c r="C210" i="3"/>
  <c r="C246" i="3" s="1"/>
  <c r="C282" i="3" s="1"/>
  <c r="C211" i="3"/>
  <c r="C247" i="3" s="1"/>
  <c r="C283" i="3" s="1"/>
  <c r="C212" i="3"/>
  <c r="C248" i="3" s="1"/>
  <c r="C284" i="3" s="1"/>
  <c r="C213" i="3"/>
  <c r="C249" i="3" s="1"/>
  <c r="C285" i="3" s="1"/>
  <c r="C214" i="3"/>
  <c r="C250" i="3" s="1"/>
  <c r="C286" i="3" s="1"/>
  <c r="C215" i="3"/>
  <c r="C251" i="3" s="1"/>
  <c r="C287" i="3" s="1"/>
  <c r="C216" i="3"/>
  <c r="C252" i="3" s="1"/>
  <c r="C288" i="3" s="1"/>
  <c r="C217" i="3"/>
  <c r="C253" i="3" s="1"/>
  <c r="C289" i="3" s="1"/>
  <c r="C218" i="3"/>
  <c r="C254" i="3" s="1"/>
  <c r="C290" i="3" s="1"/>
  <c r="C219" i="3"/>
  <c r="C255" i="3" s="1"/>
  <c r="C291" i="3" s="1"/>
  <c r="C208" i="3"/>
  <c r="C244" i="3" s="1"/>
  <c r="C280" i="3" s="1"/>
  <c r="C207" i="3"/>
  <c r="C243" i="3" s="1"/>
  <c r="C279" i="3" s="1"/>
  <c r="C206" i="3"/>
  <c r="C242" i="3" s="1"/>
  <c r="C278" i="3" s="1"/>
  <c r="C205" i="3"/>
  <c r="C241" i="3" s="1"/>
  <c r="C277" i="3" s="1"/>
  <c r="B219" i="3"/>
  <c r="B255" i="3" s="1"/>
  <c r="B291" i="3" s="1"/>
  <c r="B218" i="3"/>
  <c r="B254" i="3" s="1"/>
  <c r="B290" i="3" s="1"/>
  <c r="B217" i="3"/>
  <c r="B253" i="3" s="1"/>
  <c r="B289" i="3" s="1"/>
  <c r="B216" i="3"/>
  <c r="B252" i="3" s="1"/>
  <c r="B288" i="3" s="1"/>
  <c r="B215" i="3"/>
  <c r="B251" i="3" s="1"/>
  <c r="B287" i="3" s="1"/>
  <c r="B214" i="3"/>
  <c r="B250" i="3" s="1"/>
  <c r="B286" i="3" s="1"/>
  <c r="B213" i="3"/>
  <c r="B249" i="3" s="1"/>
  <c r="B285" i="3" s="1"/>
  <c r="B212" i="3"/>
  <c r="B248" i="3" s="1"/>
  <c r="B284" i="3" s="1"/>
  <c r="B211" i="3"/>
  <c r="B247" i="3" s="1"/>
  <c r="B283" i="3" s="1"/>
  <c r="B210" i="3"/>
  <c r="B246" i="3" s="1"/>
  <c r="B282" i="3" s="1"/>
  <c r="B209" i="3"/>
  <c r="B245" i="3" s="1"/>
  <c r="B281" i="3" s="1"/>
  <c r="B208" i="3"/>
  <c r="B244" i="3" s="1"/>
  <c r="B280" i="3" s="1"/>
  <c r="B207" i="3"/>
  <c r="B243" i="3" s="1"/>
  <c r="B279" i="3" s="1"/>
  <c r="B206" i="3"/>
  <c r="B242" i="3" s="1"/>
  <c r="B278" i="3" s="1"/>
  <c r="B205" i="3"/>
  <c r="B241" i="3" s="1"/>
  <c r="B277" i="3" s="1"/>
  <c r="O286" i="3"/>
  <c r="D207" i="3"/>
  <c r="D206" i="3"/>
  <c r="I206" i="3"/>
  <c r="T2" i="3"/>
  <c r="U2" i="3" s="1"/>
  <c r="V2" i="3" s="1"/>
  <c r="W2" i="3" s="1"/>
  <c r="P2" i="3"/>
  <c r="Q2" i="3" s="1"/>
  <c r="R2" i="3" s="1"/>
  <c r="S2" i="3" s="1"/>
  <c r="L2" i="3"/>
  <c r="M2" i="3" s="1"/>
  <c r="N2" i="3" s="1"/>
  <c r="O2" i="3" s="1"/>
  <c r="H2" i="3"/>
  <c r="I2" i="3" s="1"/>
  <c r="J2" i="3" s="1"/>
  <c r="K2" i="3" s="1"/>
  <c r="D203" i="1"/>
  <c r="D277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W290" i="3"/>
  <c r="V290" i="3"/>
  <c r="U290" i="3"/>
  <c r="T290" i="3"/>
  <c r="S290" i="3"/>
  <c r="R290" i="3"/>
  <c r="Q290" i="3"/>
  <c r="P290" i="3"/>
  <c r="O290" i="3"/>
  <c r="N290" i="3"/>
  <c r="M290" i="3"/>
  <c r="K290" i="3"/>
  <c r="J290" i="3"/>
  <c r="I290" i="3"/>
  <c r="H290" i="3"/>
  <c r="G290" i="3"/>
  <c r="F290" i="3"/>
  <c r="E290" i="3"/>
  <c r="D290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W286" i="3"/>
  <c r="V286" i="3"/>
  <c r="U286" i="3"/>
  <c r="T286" i="3"/>
  <c r="S286" i="3"/>
  <c r="R286" i="3"/>
  <c r="Q286" i="3"/>
  <c r="P286" i="3"/>
  <c r="N286" i="3"/>
  <c r="M286" i="3"/>
  <c r="L286" i="3"/>
  <c r="K286" i="3"/>
  <c r="J286" i="3"/>
  <c r="I286" i="3"/>
  <c r="H286" i="3"/>
  <c r="G286" i="3"/>
  <c r="F286" i="3"/>
  <c r="E286" i="3"/>
  <c r="D286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F277" i="3"/>
  <c r="E277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W250" i="3"/>
  <c r="V250" i="3"/>
  <c r="U250" i="3"/>
  <c r="T250" i="3"/>
  <c r="S250" i="3"/>
  <c r="R250" i="3"/>
  <c r="Q250" i="3"/>
  <c r="P250" i="3"/>
  <c r="N250" i="3"/>
  <c r="M250" i="3"/>
  <c r="L250" i="3"/>
  <c r="K250" i="3"/>
  <c r="J250" i="3"/>
  <c r="I250" i="3"/>
  <c r="H250" i="3"/>
  <c r="G250" i="3"/>
  <c r="F250" i="3"/>
  <c r="E250" i="3"/>
  <c r="D250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F241" i="3"/>
  <c r="E241" i="3"/>
  <c r="D241" i="3"/>
  <c r="W219" i="3"/>
  <c r="V219" i="3"/>
  <c r="U219" i="3"/>
  <c r="T219" i="3"/>
  <c r="S219" i="3"/>
  <c r="Q219" i="3"/>
  <c r="P219" i="3"/>
  <c r="O219" i="3"/>
  <c r="N219" i="3"/>
  <c r="M219" i="3"/>
  <c r="L219" i="3"/>
  <c r="K219" i="3"/>
  <c r="J219" i="3"/>
  <c r="H219" i="3"/>
  <c r="G219" i="3"/>
  <c r="F219" i="3"/>
  <c r="E219" i="3"/>
  <c r="D219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W209" i="3"/>
  <c r="V209" i="3"/>
  <c r="T209" i="3"/>
  <c r="S209" i="3"/>
  <c r="R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D208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U206" i="3"/>
  <c r="T206" i="3"/>
  <c r="P206" i="3"/>
  <c r="M206" i="3"/>
  <c r="L206" i="3"/>
  <c r="H206" i="3"/>
  <c r="E206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H205" i="3"/>
  <c r="G205" i="3"/>
  <c r="F205" i="3"/>
  <c r="E205" i="3"/>
  <c r="D205" i="3"/>
  <c r="K277" i="3"/>
  <c r="J277" i="3"/>
  <c r="I277" i="3"/>
  <c r="H277" i="3"/>
  <c r="G277" i="3"/>
  <c r="J241" i="3"/>
  <c r="I241" i="3"/>
  <c r="H241" i="3"/>
  <c r="G241" i="3"/>
  <c r="K205" i="3"/>
  <c r="J205" i="3"/>
  <c r="I205" i="3"/>
  <c r="D147" i="1"/>
  <c r="D146" i="1"/>
  <c r="Y160" i="6" l="1"/>
  <c r="I146" i="6"/>
  <c r="Y222" i="6"/>
  <c r="Y223" i="6"/>
  <c r="Y165" i="6"/>
  <c r="Y190" i="6"/>
  <c r="Y151" i="6"/>
  <c r="Y157" i="6"/>
  <c r="AD211" i="5"/>
  <c r="AC209" i="5"/>
  <c r="AE208" i="5"/>
  <c r="AB205" i="5"/>
  <c r="AE211" i="5"/>
  <c r="AC207" i="5"/>
  <c r="AB209" i="5"/>
  <c r="AB208" i="5"/>
  <c r="AA205" i="5"/>
  <c r="AD207" i="5"/>
  <c r="AD208" i="5"/>
  <c r="AE205" i="5"/>
  <c r="AD209" i="5"/>
  <c r="Y148" i="6"/>
  <c r="Y153" i="6"/>
  <c r="Y154" i="6"/>
  <c r="Y156" i="6"/>
  <c r="Y161" i="6"/>
  <c r="Y162" i="6"/>
  <c r="Y164" i="6"/>
  <c r="Y211" i="6"/>
  <c r="Y219" i="6"/>
  <c r="Y152" i="6"/>
  <c r="Y185" i="6"/>
  <c r="Y193" i="6"/>
  <c r="Y196" i="6"/>
  <c r="Y204" i="6"/>
  <c r="Y210" i="6"/>
  <c r="Y212" i="6"/>
  <c r="Y213" i="6"/>
  <c r="Y218" i="6"/>
  <c r="Y220" i="6"/>
  <c r="Y168" i="6"/>
  <c r="Y176" i="6"/>
  <c r="Y178" i="6"/>
  <c r="Y184" i="6"/>
  <c r="Y186" i="6"/>
  <c r="Y192" i="6"/>
  <c r="Y194" i="6"/>
  <c r="Y177" i="6"/>
  <c r="K146" i="6"/>
  <c r="I203" i="6"/>
  <c r="L203" i="6"/>
  <c r="Y166" i="6"/>
  <c r="Y167" i="6"/>
  <c r="Y208" i="6"/>
  <c r="Y216" i="6"/>
  <c r="Y224" i="6"/>
  <c r="L146" i="6"/>
  <c r="Y149" i="6"/>
  <c r="H203" i="6"/>
  <c r="K203" i="6"/>
  <c r="Y182" i="6"/>
  <c r="Y197" i="6"/>
  <c r="Y206" i="6"/>
  <c r="Y207" i="6"/>
  <c r="Y209" i="6"/>
  <c r="Y214" i="6"/>
  <c r="Y215" i="6"/>
  <c r="Y217" i="6"/>
  <c r="Y158" i="6"/>
  <c r="Y225" i="6"/>
  <c r="Y180" i="6"/>
  <c r="Y181" i="6"/>
  <c r="Y183" i="6"/>
  <c r="Y188" i="6"/>
  <c r="Y189" i="6"/>
  <c r="Y191" i="6"/>
  <c r="Y205" i="6"/>
  <c r="Y221" i="6"/>
  <c r="J203" i="6"/>
  <c r="Y150" i="6"/>
  <c r="Y159" i="6"/>
  <c r="Y147" i="6"/>
  <c r="Y155" i="6"/>
  <c r="Y163" i="6"/>
  <c r="Y179" i="6"/>
  <c r="Y187" i="6"/>
  <c r="Y195" i="6"/>
  <c r="I175" i="6"/>
  <c r="J175" i="6"/>
  <c r="K175" i="6"/>
  <c r="AC206" i="5"/>
  <c r="AE207" i="5"/>
  <c r="AC208" i="5"/>
  <c r="AB211" i="5"/>
  <c r="AA208" i="5"/>
  <c r="AA209" i="5"/>
  <c r="AA206" i="5"/>
  <c r="AC205" i="5"/>
  <c r="AA207" i="5"/>
  <c r="AE209" i="5"/>
  <c r="AB203" i="5"/>
  <c r="AD205" i="5"/>
  <c r="AB206" i="5"/>
  <c r="AB207" i="5"/>
  <c r="AC211" i="5"/>
  <c r="AE210" i="5"/>
  <c r="AD210" i="5"/>
  <c r="AA204" i="5"/>
  <c r="AC210" i="5"/>
  <c r="AE204" i="5"/>
  <c r="AB210" i="5"/>
  <c r="AD204" i="5"/>
  <c r="AC204" i="5"/>
  <c r="AA210" i="5"/>
  <c r="AB204" i="5"/>
  <c r="AE203" i="5"/>
  <c r="AD206" i="5"/>
  <c r="AE206" i="5"/>
  <c r="AC203" i="5"/>
  <c r="AD203" i="5"/>
  <c r="AA203" i="5"/>
  <c r="AA211" i="5"/>
  <c r="AD214" i="3"/>
  <c r="AC214" i="3"/>
  <c r="AB213" i="3"/>
  <c r="AC213" i="3"/>
  <c r="AA213" i="3"/>
  <c r="Z212" i="3"/>
  <c r="AA212" i="3"/>
  <c r="AB212" i="3"/>
  <c r="AC212" i="3"/>
  <c r="AD213" i="3"/>
  <c r="Z214" i="3"/>
  <c r="AD212" i="3"/>
  <c r="AA214" i="3"/>
  <c r="Z213" i="3"/>
  <c r="AB214" i="3"/>
  <c r="Z208" i="3"/>
  <c r="AD210" i="3"/>
  <c r="AD211" i="3"/>
  <c r="AA208" i="3"/>
  <c r="Z211" i="3"/>
  <c r="AB208" i="3"/>
  <c r="AA211" i="3"/>
  <c r="AC208" i="3"/>
  <c r="AB211" i="3"/>
  <c r="AB207" i="3"/>
  <c r="AC211" i="3"/>
  <c r="AC207" i="3"/>
  <c r="AD208" i="3"/>
  <c r="Z210" i="3"/>
  <c r="AD207" i="3"/>
  <c r="AA210" i="3"/>
  <c r="AB210" i="3"/>
  <c r="AC210" i="3"/>
  <c r="Z207" i="3"/>
  <c r="AA207" i="3"/>
  <c r="G206" i="3"/>
  <c r="F206" i="3"/>
  <c r="O206" i="3"/>
  <c r="N206" i="3"/>
  <c r="Q206" i="3"/>
  <c r="W206" i="3"/>
  <c r="V206" i="3"/>
  <c r="O225" i="1"/>
  <c r="P225" i="1"/>
  <c r="Q225" i="1"/>
  <c r="R225" i="1"/>
  <c r="S225" i="1"/>
  <c r="T225" i="1"/>
  <c r="U225" i="1"/>
  <c r="V225" i="1"/>
  <c r="W225" i="1"/>
  <c r="E225" i="1"/>
  <c r="F225" i="1"/>
  <c r="G225" i="1"/>
  <c r="H225" i="1"/>
  <c r="I225" i="1"/>
  <c r="J225" i="1"/>
  <c r="K225" i="1"/>
  <c r="L225" i="1"/>
  <c r="M225" i="1"/>
  <c r="N225" i="1"/>
  <c r="D225" i="1"/>
  <c r="N224" i="1"/>
  <c r="X224" i="1" s="1"/>
  <c r="O224" i="1"/>
  <c r="P224" i="1"/>
  <c r="Q224" i="1"/>
  <c r="R224" i="1"/>
  <c r="S224" i="1"/>
  <c r="T224" i="1"/>
  <c r="U224" i="1"/>
  <c r="V224" i="1"/>
  <c r="W224" i="1"/>
  <c r="E224" i="1"/>
  <c r="F224" i="1"/>
  <c r="G224" i="1"/>
  <c r="H224" i="1"/>
  <c r="I224" i="1"/>
  <c r="J224" i="1"/>
  <c r="K224" i="1"/>
  <c r="L224" i="1"/>
  <c r="M224" i="1"/>
  <c r="D224" i="1"/>
  <c r="N223" i="1"/>
  <c r="O223" i="1"/>
  <c r="P223" i="1"/>
  <c r="Q223" i="1"/>
  <c r="R223" i="1"/>
  <c r="S223" i="1"/>
  <c r="T223" i="1"/>
  <c r="U223" i="1"/>
  <c r="V223" i="1"/>
  <c r="W223" i="1"/>
  <c r="E223" i="1"/>
  <c r="F223" i="1"/>
  <c r="G223" i="1"/>
  <c r="H223" i="1"/>
  <c r="I223" i="1"/>
  <c r="J223" i="1"/>
  <c r="K223" i="1"/>
  <c r="L223" i="1"/>
  <c r="M223" i="1"/>
  <c r="D223" i="1"/>
  <c r="N222" i="1"/>
  <c r="O222" i="1"/>
  <c r="P222" i="1"/>
  <c r="Q222" i="1"/>
  <c r="R222" i="1"/>
  <c r="S222" i="1"/>
  <c r="T222" i="1"/>
  <c r="U222" i="1"/>
  <c r="V222" i="1"/>
  <c r="E222" i="1"/>
  <c r="F222" i="1"/>
  <c r="G222" i="1"/>
  <c r="H222" i="1"/>
  <c r="I222" i="1"/>
  <c r="J222" i="1"/>
  <c r="K222" i="1"/>
  <c r="L222" i="1"/>
  <c r="M222" i="1"/>
  <c r="D222" i="1"/>
  <c r="P221" i="1"/>
  <c r="Q221" i="1"/>
  <c r="R221" i="1"/>
  <c r="S221" i="1"/>
  <c r="T221" i="1"/>
  <c r="U221" i="1"/>
  <c r="V221" i="1"/>
  <c r="W221" i="1"/>
  <c r="E221" i="1"/>
  <c r="F221" i="1"/>
  <c r="G221" i="1"/>
  <c r="H221" i="1"/>
  <c r="I221" i="1"/>
  <c r="X221" i="1" s="1"/>
  <c r="J221" i="1"/>
  <c r="K221" i="1"/>
  <c r="L221" i="1"/>
  <c r="M221" i="1"/>
  <c r="N221" i="1"/>
  <c r="O221" i="1"/>
  <c r="D221" i="1"/>
  <c r="P220" i="1"/>
  <c r="Q220" i="1"/>
  <c r="R220" i="1"/>
  <c r="S220" i="1"/>
  <c r="T220" i="1"/>
  <c r="U220" i="1"/>
  <c r="V220" i="1"/>
  <c r="W220" i="1"/>
  <c r="E220" i="1"/>
  <c r="F220" i="1"/>
  <c r="G220" i="1"/>
  <c r="H220" i="1"/>
  <c r="I220" i="1"/>
  <c r="J220" i="1"/>
  <c r="K220" i="1"/>
  <c r="L220" i="1"/>
  <c r="M220" i="1"/>
  <c r="N220" i="1"/>
  <c r="O220" i="1"/>
  <c r="D220" i="1"/>
  <c r="W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D219" i="1"/>
  <c r="V218" i="1"/>
  <c r="W218" i="1"/>
  <c r="E218" i="1"/>
  <c r="F218" i="1"/>
  <c r="G218" i="1"/>
  <c r="H218" i="1"/>
  <c r="I218" i="1"/>
  <c r="J218" i="1"/>
  <c r="K218" i="1"/>
  <c r="L218" i="1"/>
  <c r="M218" i="1"/>
  <c r="N218" i="1"/>
  <c r="X218" i="1" s="1"/>
  <c r="O218" i="1"/>
  <c r="P218" i="1"/>
  <c r="Q218" i="1"/>
  <c r="R218" i="1"/>
  <c r="S218" i="1"/>
  <c r="T218" i="1"/>
  <c r="U218" i="1"/>
  <c r="D218" i="1"/>
  <c r="N217" i="1"/>
  <c r="O217" i="1"/>
  <c r="P217" i="1"/>
  <c r="Q217" i="1"/>
  <c r="R217" i="1"/>
  <c r="S217" i="1"/>
  <c r="T217" i="1"/>
  <c r="U217" i="1"/>
  <c r="V217" i="1"/>
  <c r="W217" i="1"/>
  <c r="E217" i="1"/>
  <c r="F217" i="1"/>
  <c r="G217" i="1"/>
  <c r="H217" i="1"/>
  <c r="I217" i="1"/>
  <c r="J217" i="1"/>
  <c r="K217" i="1"/>
  <c r="L217" i="1"/>
  <c r="M217" i="1"/>
  <c r="D217" i="1"/>
  <c r="P216" i="1"/>
  <c r="Q216" i="1"/>
  <c r="R216" i="1"/>
  <c r="S216" i="1"/>
  <c r="T216" i="1"/>
  <c r="U216" i="1"/>
  <c r="V216" i="1"/>
  <c r="W216" i="1"/>
  <c r="E216" i="1"/>
  <c r="F216" i="1"/>
  <c r="G216" i="1"/>
  <c r="H216" i="1"/>
  <c r="I216" i="1"/>
  <c r="J216" i="1"/>
  <c r="K216" i="1"/>
  <c r="L216" i="1"/>
  <c r="M216" i="1"/>
  <c r="N216" i="1"/>
  <c r="O216" i="1"/>
  <c r="D216" i="1"/>
  <c r="P215" i="1"/>
  <c r="Q215" i="1"/>
  <c r="R215" i="1"/>
  <c r="S215" i="1"/>
  <c r="T215" i="1"/>
  <c r="U215" i="1"/>
  <c r="V215" i="1"/>
  <c r="W215" i="1"/>
  <c r="E215" i="1"/>
  <c r="F215" i="1"/>
  <c r="G215" i="1"/>
  <c r="H215" i="1"/>
  <c r="I215" i="1"/>
  <c r="J215" i="1"/>
  <c r="K215" i="1"/>
  <c r="L215" i="1"/>
  <c r="M215" i="1"/>
  <c r="N215" i="1"/>
  <c r="O215" i="1"/>
  <c r="D215" i="1"/>
  <c r="O214" i="1"/>
  <c r="P214" i="1"/>
  <c r="Q214" i="1"/>
  <c r="R214" i="1"/>
  <c r="S214" i="1"/>
  <c r="T214" i="1"/>
  <c r="U214" i="1"/>
  <c r="V214" i="1"/>
  <c r="W214" i="1"/>
  <c r="E214" i="1"/>
  <c r="F214" i="1"/>
  <c r="G214" i="1"/>
  <c r="H214" i="1"/>
  <c r="I214" i="1"/>
  <c r="J214" i="1"/>
  <c r="K214" i="1"/>
  <c r="L214" i="1"/>
  <c r="M214" i="1"/>
  <c r="N214" i="1"/>
  <c r="D214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D213" i="1"/>
  <c r="O212" i="1"/>
  <c r="P212" i="1"/>
  <c r="Q212" i="1"/>
  <c r="R212" i="1"/>
  <c r="S212" i="1"/>
  <c r="T212" i="1"/>
  <c r="U212" i="1"/>
  <c r="V212" i="1"/>
  <c r="W212" i="1"/>
  <c r="E212" i="1"/>
  <c r="F212" i="1"/>
  <c r="G212" i="1"/>
  <c r="H212" i="1"/>
  <c r="I212" i="1"/>
  <c r="J212" i="1"/>
  <c r="K212" i="1"/>
  <c r="L212" i="1"/>
  <c r="M212" i="1"/>
  <c r="N212" i="1"/>
  <c r="D212" i="1"/>
  <c r="P211" i="1"/>
  <c r="Q211" i="1"/>
  <c r="R211" i="1"/>
  <c r="S211" i="1"/>
  <c r="T211" i="1"/>
  <c r="U211" i="1"/>
  <c r="V211" i="1"/>
  <c r="W211" i="1"/>
  <c r="E211" i="1"/>
  <c r="F211" i="1"/>
  <c r="G211" i="1"/>
  <c r="H211" i="1"/>
  <c r="I211" i="1"/>
  <c r="J211" i="1"/>
  <c r="K211" i="1"/>
  <c r="L211" i="1"/>
  <c r="M211" i="1"/>
  <c r="N211" i="1"/>
  <c r="O211" i="1"/>
  <c r="D211" i="1"/>
  <c r="X211" i="1" s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X210" i="1" s="1"/>
  <c r="V210" i="1"/>
  <c r="W210" i="1"/>
  <c r="D210" i="1"/>
  <c r="O209" i="1"/>
  <c r="P209" i="1"/>
  <c r="Q209" i="1"/>
  <c r="R209" i="1"/>
  <c r="S209" i="1"/>
  <c r="T209" i="1"/>
  <c r="U209" i="1"/>
  <c r="V209" i="1"/>
  <c r="W209" i="1"/>
  <c r="E209" i="1"/>
  <c r="F209" i="1"/>
  <c r="G209" i="1"/>
  <c r="H209" i="1"/>
  <c r="I209" i="1"/>
  <c r="J209" i="1"/>
  <c r="K209" i="1"/>
  <c r="L209" i="1"/>
  <c r="M209" i="1"/>
  <c r="N209" i="1"/>
  <c r="D209" i="1"/>
  <c r="W208" i="1"/>
  <c r="O208" i="1"/>
  <c r="P208" i="1"/>
  <c r="Q208" i="1"/>
  <c r="R208" i="1"/>
  <c r="S208" i="1"/>
  <c r="T208" i="1"/>
  <c r="U208" i="1"/>
  <c r="V208" i="1"/>
  <c r="E208" i="1"/>
  <c r="F208" i="1"/>
  <c r="G208" i="1"/>
  <c r="H208" i="1"/>
  <c r="I208" i="1"/>
  <c r="J208" i="1"/>
  <c r="K208" i="1"/>
  <c r="L208" i="1"/>
  <c r="M208" i="1"/>
  <c r="N208" i="1"/>
  <c r="D208" i="1"/>
  <c r="N207" i="1"/>
  <c r="O207" i="1"/>
  <c r="P207" i="1"/>
  <c r="Q207" i="1"/>
  <c r="R207" i="1"/>
  <c r="S207" i="1"/>
  <c r="T207" i="1"/>
  <c r="U207" i="1"/>
  <c r="V207" i="1"/>
  <c r="W207" i="1"/>
  <c r="E207" i="1"/>
  <c r="F207" i="1"/>
  <c r="G207" i="1"/>
  <c r="H207" i="1"/>
  <c r="I207" i="1"/>
  <c r="J207" i="1"/>
  <c r="K207" i="1"/>
  <c r="L207" i="1"/>
  <c r="M207" i="1"/>
  <c r="D207" i="1"/>
  <c r="O206" i="1"/>
  <c r="P206" i="1"/>
  <c r="Q206" i="1"/>
  <c r="R206" i="1"/>
  <c r="S206" i="1"/>
  <c r="T206" i="1"/>
  <c r="U206" i="1"/>
  <c r="V206" i="1"/>
  <c r="W206" i="1"/>
  <c r="E206" i="1"/>
  <c r="F206" i="1"/>
  <c r="G206" i="1"/>
  <c r="X206" i="1" s="1"/>
  <c r="H206" i="1"/>
  <c r="I206" i="1"/>
  <c r="J206" i="1"/>
  <c r="K206" i="1"/>
  <c r="L206" i="1"/>
  <c r="M206" i="1"/>
  <c r="N206" i="1"/>
  <c r="D206" i="1"/>
  <c r="O205" i="1"/>
  <c r="P205" i="1"/>
  <c r="Q205" i="1"/>
  <c r="R205" i="1"/>
  <c r="S205" i="1"/>
  <c r="T205" i="1"/>
  <c r="U205" i="1"/>
  <c r="V205" i="1"/>
  <c r="W205" i="1"/>
  <c r="E205" i="1"/>
  <c r="F205" i="1"/>
  <c r="G205" i="1"/>
  <c r="H205" i="1"/>
  <c r="I205" i="1"/>
  <c r="J205" i="1"/>
  <c r="K205" i="1"/>
  <c r="L205" i="1"/>
  <c r="M205" i="1"/>
  <c r="N205" i="1"/>
  <c r="D205" i="1"/>
  <c r="W204" i="1"/>
  <c r="P204" i="1"/>
  <c r="Q204" i="1"/>
  <c r="R204" i="1"/>
  <c r="S204" i="1"/>
  <c r="T204" i="1"/>
  <c r="U204" i="1"/>
  <c r="V204" i="1"/>
  <c r="O203" i="1"/>
  <c r="P203" i="1"/>
  <c r="Q203" i="1"/>
  <c r="R203" i="1"/>
  <c r="S203" i="1"/>
  <c r="T203" i="1"/>
  <c r="U203" i="1"/>
  <c r="V203" i="1"/>
  <c r="W203" i="1"/>
  <c r="F203" i="1"/>
  <c r="L203" i="1"/>
  <c r="M203" i="1"/>
  <c r="N203" i="1"/>
  <c r="E204" i="1"/>
  <c r="F204" i="1"/>
  <c r="G204" i="1"/>
  <c r="H204" i="1"/>
  <c r="I204" i="1"/>
  <c r="J204" i="1"/>
  <c r="K204" i="1"/>
  <c r="L204" i="1"/>
  <c r="M204" i="1"/>
  <c r="N204" i="1"/>
  <c r="O204" i="1"/>
  <c r="D204" i="1"/>
  <c r="D176" i="1"/>
  <c r="E176" i="1"/>
  <c r="F176" i="1"/>
  <c r="D177" i="1"/>
  <c r="E177" i="1"/>
  <c r="F177" i="1"/>
  <c r="D178" i="1"/>
  <c r="E178" i="1"/>
  <c r="F178" i="1"/>
  <c r="D179" i="1"/>
  <c r="E179" i="1"/>
  <c r="F179" i="1"/>
  <c r="D180" i="1"/>
  <c r="E180" i="1"/>
  <c r="F180" i="1"/>
  <c r="D181" i="1"/>
  <c r="E181" i="1"/>
  <c r="F181" i="1"/>
  <c r="E182" i="1"/>
  <c r="F182" i="1"/>
  <c r="D183" i="1"/>
  <c r="E183" i="1"/>
  <c r="F183" i="1"/>
  <c r="D184" i="1"/>
  <c r="E184" i="1"/>
  <c r="F184" i="1"/>
  <c r="D185" i="1"/>
  <c r="E185" i="1"/>
  <c r="F185" i="1"/>
  <c r="D186" i="1"/>
  <c r="E186" i="1"/>
  <c r="F186" i="1"/>
  <c r="D187" i="1"/>
  <c r="E187" i="1"/>
  <c r="F187" i="1"/>
  <c r="D188" i="1"/>
  <c r="E188" i="1"/>
  <c r="F188" i="1"/>
  <c r="D189" i="1"/>
  <c r="E189" i="1"/>
  <c r="F189" i="1"/>
  <c r="D190" i="1"/>
  <c r="E190" i="1"/>
  <c r="F190" i="1"/>
  <c r="D191" i="1"/>
  <c r="E191" i="1"/>
  <c r="F191" i="1"/>
  <c r="D192" i="1"/>
  <c r="E192" i="1"/>
  <c r="F192" i="1"/>
  <c r="D193" i="1"/>
  <c r="E193" i="1"/>
  <c r="F193" i="1"/>
  <c r="D194" i="1"/>
  <c r="E194" i="1"/>
  <c r="F194" i="1"/>
  <c r="D195" i="1"/>
  <c r="E195" i="1"/>
  <c r="F195" i="1"/>
  <c r="D196" i="1"/>
  <c r="E196" i="1"/>
  <c r="F196" i="1"/>
  <c r="D197" i="1"/>
  <c r="E197" i="1"/>
  <c r="F197" i="1"/>
  <c r="Q197" i="1"/>
  <c r="R197" i="1"/>
  <c r="S197" i="1"/>
  <c r="T197" i="1"/>
  <c r="U197" i="1"/>
  <c r="V197" i="1"/>
  <c r="W197" i="1"/>
  <c r="H197" i="1"/>
  <c r="I197" i="1"/>
  <c r="J197" i="1"/>
  <c r="K197" i="1"/>
  <c r="L197" i="1"/>
  <c r="M197" i="1"/>
  <c r="N197" i="1"/>
  <c r="O197" i="1"/>
  <c r="P197" i="1"/>
  <c r="G197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G196" i="1"/>
  <c r="W195" i="1"/>
  <c r="R195" i="1"/>
  <c r="S195" i="1"/>
  <c r="T195" i="1"/>
  <c r="U195" i="1"/>
  <c r="V195" i="1"/>
  <c r="H195" i="1"/>
  <c r="I195" i="1"/>
  <c r="J195" i="1"/>
  <c r="K195" i="1"/>
  <c r="L195" i="1"/>
  <c r="M195" i="1"/>
  <c r="N195" i="1"/>
  <c r="O195" i="1"/>
  <c r="P195" i="1"/>
  <c r="Q195" i="1"/>
  <c r="G195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G194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G193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G192" i="1"/>
  <c r="P191" i="1"/>
  <c r="Q191" i="1"/>
  <c r="R191" i="1"/>
  <c r="S191" i="1"/>
  <c r="T191" i="1"/>
  <c r="U191" i="1"/>
  <c r="V191" i="1"/>
  <c r="W191" i="1"/>
  <c r="H191" i="1"/>
  <c r="I191" i="1"/>
  <c r="J191" i="1"/>
  <c r="K191" i="1"/>
  <c r="L191" i="1"/>
  <c r="M191" i="1"/>
  <c r="N191" i="1"/>
  <c r="O191" i="1"/>
  <c r="G191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G190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G189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G188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G187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G186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G185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G184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G183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G182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G181" i="1"/>
  <c r="S180" i="1"/>
  <c r="T180" i="1"/>
  <c r="U180" i="1"/>
  <c r="V180" i="1"/>
  <c r="W180" i="1"/>
  <c r="H180" i="1"/>
  <c r="I180" i="1"/>
  <c r="J180" i="1"/>
  <c r="K180" i="1"/>
  <c r="L180" i="1"/>
  <c r="M180" i="1"/>
  <c r="N180" i="1"/>
  <c r="O180" i="1"/>
  <c r="P180" i="1"/>
  <c r="Q180" i="1"/>
  <c r="R180" i="1"/>
  <c r="G180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G179" i="1"/>
  <c r="P178" i="1"/>
  <c r="Q178" i="1"/>
  <c r="R178" i="1"/>
  <c r="S178" i="1"/>
  <c r="T178" i="1"/>
  <c r="U178" i="1"/>
  <c r="V178" i="1"/>
  <c r="W178" i="1"/>
  <c r="H178" i="1"/>
  <c r="I178" i="1"/>
  <c r="J178" i="1"/>
  <c r="K178" i="1"/>
  <c r="L178" i="1"/>
  <c r="M178" i="1"/>
  <c r="N178" i="1"/>
  <c r="O178" i="1"/>
  <c r="G178" i="1"/>
  <c r="M177" i="1"/>
  <c r="N177" i="1"/>
  <c r="O177" i="1"/>
  <c r="P177" i="1"/>
  <c r="Q177" i="1"/>
  <c r="R177" i="1"/>
  <c r="S177" i="1"/>
  <c r="T177" i="1"/>
  <c r="U177" i="1"/>
  <c r="V177" i="1"/>
  <c r="W177" i="1"/>
  <c r="H177" i="1"/>
  <c r="I177" i="1"/>
  <c r="J177" i="1"/>
  <c r="K177" i="1"/>
  <c r="L177" i="1"/>
  <c r="G177" i="1"/>
  <c r="D148" i="1"/>
  <c r="E148" i="1"/>
  <c r="F148" i="1"/>
  <c r="D149" i="1"/>
  <c r="E149" i="1"/>
  <c r="F149" i="1"/>
  <c r="D150" i="1"/>
  <c r="E150" i="1"/>
  <c r="F150" i="1"/>
  <c r="D151" i="1"/>
  <c r="E151" i="1"/>
  <c r="F151" i="1"/>
  <c r="D152" i="1"/>
  <c r="E152" i="1"/>
  <c r="F152" i="1"/>
  <c r="D153" i="1"/>
  <c r="E153" i="1"/>
  <c r="F153" i="1"/>
  <c r="D154" i="1"/>
  <c r="E154" i="1"/>
  <c r="F154" i="1"/>
  <c r="D155" i="1"/>
  <c r="E155" i="1"/>
  <c r="F155" i="1"/>
  <c r="D156" i="1"/>
  <c r="E156" i="1"/>
  <c r="F156" i="1"/>
  <c r="D157" i="1"/>
  <c r="E157" i="1"/>
  <c r="F157" i="1"/>
  <c r="D158" i="1"/>
  <c r="E158" i="1"/>
  <c r="F158" i="1"/>
  <c r="D159" i="1"/>
  <c r="E159" i="1"/>
  <c r="F159" i="1"/>
  <c r="D160" i="1"/>
  <c r="E160" i="1"/>
  <c r="F160" i="1"/>
  <c r="D161" i="1"/>
  <c r="E161" i="1"/>
  <c r="F161" i="1"/>
  <c r="D162" i="1"/>
  <c r="E162" i="1"/>
  <c r="F162" i="1"/>
  <c r="D163" i="1"/>
  <c r="E163" i="1"/>
  <c r="F163" i="1"/>
  <c r="D164" i="1"/>
  <c r="E164" i="1"/>
  <c r="F164" i="1"/>
  <c r="D165" i="1"/>
  <c r="E165" i="1"/>
  <c r="F165" i="1"/>
  <c r="D166" i="1"/>
  <c r="E166" i="1"/>
  <c r="F166" i="1"/>
  <c r="D167" i="1"/>
  <c r="E167" i="1"/>
  <c r="F167" i="1"/>
  <c r="D168" i="1"/>
  <c r="E168" i="1"/>
  <c r="F168" i="1"/>
  <c r="P168" i="1"/>
  <c r="Q168" i="1"/>
  <c r="R168" i="1"/>
  <c r="S168" i="1"/>
  <c r="T168" i="1"/>
  <c r="U168" i="1"/>
  <c r="V168" i="1"/>
  <c r="W168" i="1"/>
  <c r="H168" i="1"/>
  <c r="I168" i="1"/>
  <c r="J168" i="1"/>
  <c r="K168" i="1"/>
  <c r="L168" i="1"/>
  <c r="M168" i="1"/>
  <c r="N168" i="1"/>
  <c r="O168" i="1"/>
  <c r="G168" i="1"/>
  <c r="P167" i="1"/>
  <c r="Q167" i="1"/>
  <c r="R167" i="1"/>
  <c r="S167" i="1"/>
  <c r="T167" i="1"/>
  <c r="U167" i="1"/>
  <c r="V167" i="1"/>
  <c r="W167" i="1"/>
  <c r="H167" i="1"/>
  <c r="I167" i="1"/>
  <c r="J167" i="1"/>
  <c r="K167" i="1"/>
  <c r="L167" i="1"/>
  <c r="M167" i="1"/>
  <c r="N167" i="1"/>
  <c r="O167" i="1"/>
  <c r="G167" i="1"/>
  <c r="P166" i="1"/>
  <c r="Q166" i="1"/>
  <c r="R166" i="1"/>
  <c r="S166" i="1"/>
  <c r="T166" i="1"/>
  <c r="U166" i="1"/>
  <c r="V166" i="1"/>
  <c r="W166" i="1"/>
  <c r="H166" i="1"/>
  <c r="I166" i="1"/>
  <c r="J166" i="1"/>
  <c r="K166" i="1"/>
  <c r="L166" i="1"/>
  <c r="M166" i="1"/>
  <c r="N166" i="1"/>
  <c r="O166" i="1"/>
  <c r="G166" i="1"/>
  <c r="Q165" i="1"/>
  <c r="R165" i="1"/>
  <c r="S165" i="1"/>
  <c r="T165" i="1"/>
  <c r="U165" i="1"/>
  <c r="V165" i="1"/>
  <c r="H165" i="1"/>
  <c r="I165" i="1"/>
  <c r="J165" i="1"/>
  <c r="K165" i="1"/>
  <c r="L165" i="1"/>
  <c r="M165" i="1"/>
  <c r="N165" i="1"/>
  <c r="O165" i="1"/>
  <c r="P165" i="1"/>
  <c r="X165" i="1" s="1"/>
  <c r="G165" i="1"/>
  <c r="Q164" i="1"/>
  <c r="R164" i="1"/>
  <c r="S164" i="1"/>
  <c r="T164" i="1"/>
  <c r="U164" i="1"/>
  <c r="V164" i="1"/>
  <c r="W164" i="1"/>
  <c r="H164" i="1"/>
  <c r="I164" i="1"/>
  <c r="J164" i="1"/>
  <c r="K164" i="1"/>
  <c r="L164" i="1"/>
  <c r="M164" i="1"/>
  <c r="N164" i="1"/>
  <c r="O164" i="1"/>
  <c r="P164" i="1"/>
  <c r="G164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G163" i="1"/>
  <c r="H162" i="1"/>
  <c r="I162" i="1"/>
  <c r="J162" i="1"/>
  <c r="K162" i="1"/>
  <c r="L162" i="1"/>
  <c r="M162" i="1"/>
  <c r="N162" i="1"/>
  <c r="X162" i="1" s="1"/>
  <c r="O162" i="1"/>
  <c r="P162" i="1"/>
  <c r="Q162" i="1"/>
  <c r="R162" i="1"/>
  <c r="S162" i="1"/>
  <c r="T162" i="1"/>
  <c r="U162" i="1"/>
  <c r="V162" i="1"/>
  <c r="W162" i="1"/>
  <c r="G162" i="1"/>
  <c r="H161" i="1"/>
  <c r="I161" i="1"/>
  <c r="J161" i="1"/>
  <c r="K161" i="1"/>
  <c r="L161" i="1"/>
  <c r="M161" i="1"/>
  <c r="N161" i="1"/>
  <c r="X161" i="1" s="1"/>
  <c r="O161" i="1"/>
  <c r="P161" i="1"/>
  <c r="Q161" i="1"/>
  <c r="R161" i="1"/>
  <c r="S161" i="1"/>
  <c r="T161" i="1"/>
  <c r="U161" i="1"/>
  <c r="V161" i="1"/>
  <c r="W161" i="1"/>
  <c r="G161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G160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G159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G158" i="1"/>
  <c r="P157" i="1"/>
  <c r="Q157" i="1"/>
  <c r="R157" i="1"/>
  <c r="S157" i="1"/>
  <c r="T157" i="1"/>
  <c r="U157" i="1"/>
  <c r="V157" i="1"/>
  <c r="W157" i="1"/>
  <c r="H157" i="1"/>
  <c r="I157" i="1"/>
  <c r="J157" i="1"/>
  <c r="K157" i="1"/>
  <c r="L157" i="1"/>
  <c r="M157" i="1"/>
  <c r="N157" i="1"/>
  <c r="O157" i="1"/>
  <c r="G157" i="1"/>
  <c r="Q156" i="1"/>
  <c r="R156" i="1"/>
  <c r="S156" i="1"/>
  <c r="T156" i="1"/>
  <c r="U156" i="1"/>
  <c r="V156" i="1"/>
  <c r="W156" i="1"/>
  <c r="H156" i="1"/>
  <c r="I156" i="1"/>
  <c r="J156" i="1"/>
  <c r="K156" i="1"/>
  <c r="L156" i="1"/>
  <c r="M156" i="1"/>
  <c r="N156" i="1"/>
  <c r="O156" i="1"/>
  <c r="P156" i="1"/>
  <c r="G156" i="1"/>
  <c r="O155" i="1"/>
  <c r="P155" i="1"/>
  <c r="Q155" i="1"/>
  <c r="R155" i="1"/>
  <c r="S155" i="1"/>
  <c r="T155" i="1"/>
  <c r="U155" i="1"/>
  <c r="V155" i="1"/>
  <c r="W155" i="1"/>
  <c r="L155" i="1"/>
  <c r="M155" i="1"/>
  <c r="N155" i="1"/>
  <c r="H155" i="1"/>
  <c r="I155" i="1"/>
  <c r="J155" i="1"/>
  <c r="K155" i="1"/>
  <c r="G155" i="1"/>
  <c r="S154" i="1"/>
  <c r="T154" i="1"/>
  <c r="U154" i="1"/>
  <c r="V154" i="1"/>
  <c r="W154" i="1"/>
  <c r="M154" i="1"/>
  <c r="N154" i="1"/>
  <c r="O154" i="1"/>
  <c r="P154" i="1"/>
  <c r="Q154" i="1"/>
  <c r="R154" i="1"/>
  <c r="H154" i="1"/>
  <c r="I154" i="1"/>
  <c r="J154" i="1"/>
  <c r="K154" i="1"/>
  <c r="L154" i="1"/>
  <c r="G154" i="1"/>
  <c r="S153" i="1"/>
  <c r="T153" i="1"/>
  <c r="U153" i="1"/>
  <c r="V153" i="1"/>
  <c r="W153" i="1"/>
  <c r="N153" i="1"/>
  <c r="O153" i="1"/>
  <c r="P153" i="1"/>
  <c r="Q153" i="1"/>
  <c r="R153" i="1"/>
  <c r="M153" i="1"/>
  <c r="H153" i="1"/>
  <c r="I153" i="1"/>
  <c r="J153" i="1"/>
  <c r="K153" i="1"/>
  <c r="L153" i="1"/>
  <c r="G153" i="1"/>
  <c r="N152" i="1"/>
  <c r="O152" i="1"/>
  <c r="P152" i="1"/>
  <c r="Q152" i="1"/>
  <c r="R152" i="1"/>
  <c r="S152" i="1"/>
  <c r="T152" i="1"/>
  <c r="U152" i="1"/>
  <c r="V152" i="1"/>
  <c r="W152" i="1"/>
  <c r="H152" i="1"/>
  <c r="I152" i="1"/>
  <c r="J152" i="1"/>
  <c r="K152" i="1"/>
  <c r="L152" i="1"/>
  <c r="M152" i="1"/>
  <c r="G152" i="1"/>
  <c r="S151" i="1"/>
  <c r="T151" i="1"/>
  <c r="U151" i="1"/>
  <c r="V151" i="1"/>
  <c r="W151" i="1"/>
  <c r="M151" i="1"/>
  <c r="N151" i="1"/>
  <c r="O151" i="1"/>
  <c r="P151" i="1"/>
  <c r="Q151" i="1"/>
  <c r="R151" i="1"/>
  <c r="H151" i="1"/>
  <c r="I151" i="1"/>
  <c r="J151" i="1"/>
  <c r="K151" i="1"/>
  <c r="L151" i="1"/>
  <c r="G151" i="1"/>
  <c r="O150" i="1"/>
  <c r="P150" i="1"/>
  <c r="Q150" i="1"/>
  <c r="R150" i="1"/>
  <c r="S150" i="1"/>
  <c r="T150" i="1"/>
  <c r="U150" i="1"/>
  <c r="V150" i="1"/>
  <c r="W150" i="1"/>
  <c r="M150" i="1"/>
  <c r="N150" i="1"/>
  <c r="H150" i="1"/>
  <c r="I150" i="1"/>
  <c r="J150" i="1"/>
  <c r="K150" i="1"/>
  <c r="L150" i="1"/>
  <c r="G150" i="1"/>
  <c r="T149" i="1"/>
  <c r="U149" i="1"/>
  <c r="V149" i="1"/>
  <c r="W149" i="1"/>
  <c r="P149" i="1"/>
  <c r="Q149" i="1"/>
  <c r="R149" i="1"/>
  <c r="S149" i="1"/>
  <c r="M149" i="1"/>
  <c r="N149" i="1"/>
  <c r="O149" i="1"/>
  <c r="H149" i="1"/>
  <c r="I149" i="1"/>
  <c r="J149" i="1"/>
  <c r="K149" i="1"/>
  <c r="L149" i="1"/>
  <c r="G149" i="1"/>
  <c r="M148" i="1"/>
  <c r="N148" i="1"/>
  <c r="O148" i="1"/>
  <c r="P148" i="1"/>
  <c r="Q148" i="1"/>
  <c r="R148" i="1"/>
  <c r="S148" i="1"/>
  <c r="T148" i="1"/>
  <c r="U148" i="1"/>
  <c r="V148" i="1"/>
  <c r="W148" i="1"/>
  <c r="H148" i="1"/>
  <c r="I148" i="1"/>
  <c r="J148" i="1"/>
  <c r="K148" i="1"/>
  <c r="L148" i="1"/>
  <c r="G148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W147" i="1"/>
  <c r="V147" i="1"/>
  <c r="L147" i="1"/>
  <c r="M147" i="1"/>
  <c r="N147" i="1"/>
  <c r="O147" i="1"/>
  <c r="P147" i="1"/>
  <c r="Q147" i="1"/>
  <c r="R147" i="1"/>
  <c r="S147" i="1"/>
  <c r="T147" i="1"/>
  <c r="U147" i="1"/>
  <c r="I147" i="1"/>
  <c r="J147" i="1"/>
  <c r="K147" i="1"/>
  <c r="H147" i="1"/>
  <c r="E147" i="1"/>
  <c r="F147" i="1"/>
  <c r="G147" i="1"/>
  <c r="G8" i="1"/>
  <c r="G175" i="1"/>
  <c r="K9" i="1"/>
  <c r="K8" i="1"/>
  <c r="K6" i="1"/>
  <c r="K5" i="1"/>
  <c r="J9" i="1"/>
  <c r="J8" i="1"/>
  <c r="J6" i="1"/>
  <c r="J5" i="1"/>
  <c r="I9" i="1"/>
  <c r="I8" i="1"/>
  <c r="I6" i="1"/>
  <c r="I5" i="1"/>
  <c r="I146" i="1" s="1"/>
  <c r="H9" i="1"/>
  <c r="H8" i="1"/>
  <c r="H6" i="1"/>
  <c r="H5" i="1"/>
  <c r="G9" i="1"/>
  <c r="G6" i="1"/>
  <c r="G5" i="1"/>
  <c r="F175" i="1"/>
  <c r="E175" i="1"/>
  <c r="D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X225" i="1" l="1"/>
  <c r="X197" i="1"/>
  <c r="X196" i="1"/>
  <c r="X195" i="1"/>
  <c r="X194" i="1"/>
  <c r="X193" i="1"/>
  <c r="X191" i="1"/>
  <c r="X217" i="1"/>
  <c r="X189" i="1"/>
  <c r="X190" i="1"/>
  <c r="X215" i="1"/>
  <c r="X160" i="1"/>
  <c r="X187" i="1"/>
  <c r="X216" i="1"/>
  <c r="X159" i="1"/>
  <c r="X188" i="1"/>
  <c r="X183" i="1"/>
  <c r="X184" i="1"/>
  <c r="X214" i="1"/>
  <c r="X212" i="1"/>
  <c r="X157" i="1"/>
  <c r="X213" i="1"/>
  <c r="X185" i="1"/>
  <c r="X186" i="1"/>
  <c r="X155" i="1"/>
  <c r="X156" i="1"/>
  <c r="X158" i="1"/>
  <c r="X182" i="1"/>
  <c r="X181" i="1"/>
  <c r="X180" i="1"/>
  <c r="X179" i="1"/>
  <c r="X178" i="1"/>
  <c r="X176" i="1"/>
  <c r="X177" i="1"/>
  <c r="Y146" i="6"/>
  <c r="Y203" i="6"/>
  <c r="Y175" i="6"/>
  <c r="R206" i="3"/>
  <c r="S206" i="3"/>
  <c r="K206" i="3"/>
  <c r="J206" i="3"/>
  <c r="G203" i="1"/>
  <c r="I203" i="1"/>
  <c r="H203" i="1"/>
  <c r="J203" i="1"/>
  <c r="K203" i="1"/>
  <c r="E203" i="1"/>
  <c r="H175" i="1"/>
  <c r="J146" i="1"/>
  <c r="H146" i="1"/>
  <c r="K146" i="1"/>
  <c r="K175" i="1"/>
  <c r="G146" i="1"/>
  <c r="J175" i="1"/>
  <c r="I175" i="1"/>
  <c r="F146" i="1"/>
  <c r="E146" i="1"/>
  <c r="X175" i="1" l="1"/>
  <c r="AB209" i="3"/>
  <c r="Z206" i="3"/>
  <c r="AD206" i="3"/>
  <c r="AA209" i="3"/>
  <c r="AC209" i="3"/>
  <c r="AD209" i="3"/>
  <c r="AB206" i="3"/>
  <c r="AC206" i="3"/>
  <c r="AA206" i="3"/>
  <c r="Z209" i="3"/>
</calcChain>
</file>

<file path=xl/sharedStrings.xml><?xml version="1.0" encoding="utf-8"?>
<sst xmlns="http://schemas.openxmlformats.org/spreadsheetml/2006/main" count="1651" uniqueCount="225">
  <si>
    <t>No</t>
  </si>
  <si>
    <t>Nama Perusahaan</t>
  </si>
  <si>
    <t>Kode</t>
  </si>
  <si>
    <t>CR</t>
  </si>
  <si>
    <t>ROA</t>
  </si>
  <si>
    <t>Q1</t>
  </si>
  <si>
    <t>Q2</t>
  </si>
  <si>
    <t>Q3</t>
  </si>
  <si>
    <t>Q4</t>
  </si>
  <si>
    <t>PT Berlian Laju Tanker Tbk </t>
  </si>
  <si>
    <t>PT Pelayaran Nelly Dwi Putri Tbk.  </t>
  </si>
  <si>
    <t>PT Mineral Sumberdaya Mandiri Tbk.  </t>
  </si>
  <si>
    <t>PT Blue Bird Tbk. </t>
  </si>
  <si>
    <t>PT AirAsia Indonesia Tbk.  </t>
  </si>
  <si>
    <t>PT Garuda Indonesia (Persero) Tbk. </t>
  </si>
  <si>
    <t>PT Eka Sari Lorena Transport Tbk. </t>
  </si>
  <si>
    <t>PT Mitra International Resources Tbk.  </t>
  </si>
  <si>
    <t>PT Mitra Investindo Tbk. </t>
  </si>
  <si>
    <t>PT Sidomulyo Selaras Tbk.  </t>
  </si>
  <si>
    <t>PT Samudera Indonesia  Tbk. </t>
  </si>
  <si>
    <t>PT Express Transindo Utama Tbk. </t>
  </si>
  <si>
    <t>PT Temas Tbk. </t>
  </si>
  <si>
    <t>PT WEHA Transportasi Indonesia Tbk.  </t>
  </si>
  <si>
    <t>PT Jaya Trishindo Tbk.  </t>
  </si>
  <si>
    <t>PT Guna Timur Raya Tbk.  </t>
  </si>
  <si>
    <t>PT Trimuda Nuansa Citra Tbk.  </t>
  </si>
  <si>
    <t>PT Batavia Prosperindo Trans Tbk.  </t>
  </si>
  <si>
    <t>PT Satria Antaran Prima Tbk.   </t>
  </si>
  <si>
    <t>PT Dewata Freightinternational Tbk. </t>
  </si>
  <si>
    <t>PT Steady Safe Tbk. </t>
  </si>
  <si>
    <t>PT Indomobil Multi Jasa Tbk.  </t>
  </si>
  <si>
    <t>PT Adi Sarana Armada Tbk. </t>
  </si>
  <si>
    <t>BLTA </t>
  </si>
  <si>
    <t>NELY </t>
  </si>
  <si>
    <t>AKSI </t>
  </si>
  <si>
    <t>BIRD </t>
  </si>
  <si>
    <t>CMPP </t>
  </si>
  <si>
    <t>GIAA </t>
  </si>
  <si>
    <t>LRNA </t>
  </si>
  <si>
    <t>MIRA </t>
  </si>
  <si>
    <t>MITI </t>
  </si>
  <si>
    <t>SDMU </t>
  </si>
  <si>
    <t>SMDR </t>
  </si>
  <si>
    <t>TAXI </t>
  </si>
  <si>
    <t>TMAS </t>
  </si>
  <si>
    <t>WEHA </t>
  </si>
  <si>
    <t>HELI </t>
  </si>
  <si>
    <t>TRUK </t>
  </si>
  <si>
    <t>TNCA </t>
  </si>
  <si>
    <t>BPTR </t>
  </si>
  <si>
    <t>SAPX </t>
  </si>
  <si>
    <t>DEAL </t>
  </si>
  <si>
    <t>SAFE </t>
  </si>
  <si>
    <t>IMJS </t>
  </si>
  <si>
    <t>ASSA </t>
  </si>
  <si>
    <t>Total Hutang</t>
  </si>
  <si>
    <t>Total Aset</t>
  </si>
  <si>
    <t>Pendapatan Bersih</t>
  </si>
  <si>
    <t>Aset Lancar</t>
  </si>
  <si>
    <t>Hutang Lancar</t>
  </si>
  <si>
    <t>DAR</t>
  </si>
  <si>
    <t>WeWork</t>
  </si>
  <si>
    <t>Perusahaan Bankrut 2023</t>
  </si>
  <si>
    <t>November 2023.</t>
  </si>
  <si>
    <t>Rite Aid</t>
  </si>
  <si>
    <t>Oktober 2023</t>
  </si>
  <si>
    <t>Bed Bath &amp; Beyond</t>
  </si>
  <si>
    <t>Tuesday Morning</t>
  </si>
  <si>
    <t>Februari 2023</t>
  </si>
  <si>
    <t>Party City</t>
  </si>
  <si>
    <t>Januari 2023</t>
  </si>
  <si>
    <t>SmileDirectClub</t>
  </si>
  <si>
    <t>Desember 2023</t>
  </si>
  <si>
    <t>https://www.liputan6.com/bisnis/read/5491355/daftar-7-perusahaan-as-bangkrut-sepanjang-2023-imbas-ekonomi-loyo?page=4</t>
  </si>
  <si>
    <t>https://teknologi.bisnis.com/read/20231222/266/1726326/15-startup-besar-yang-tutup-dan-phk-di-ri-2023-pegipegi-hingga-jdid</t>
  </si>
  <si>
    <t>Lordstown Motors</t>
  </si>
  <si>
    <t>Juni 2023</t>
  </si>
  <si>
    <t>Republic First Bank</t>
  </si>
  <si>
    <t>https://databoks.katadata.co.id/datapublish/2024/04/29/republic-first-bank-bangkrut-asetnya-tergolong-besar-di-as</t>
  </si>
  <si>
    <t>Silicon Valley Bank</t>
  </si>
  <si>
    <t>Signature Bank</t>
  </si>
  <si>
    <t xml:space="preserve">Untuk data training apakah sama </t>
  </si>
  <si>
    <t>menggunakan laporan triwulan</t>
  </si>
  <si>
    <t xml:space="preserve">Apakah </t>
  </si>
  <si>
    <t>https://www.youtube.com/watch?v=HT8Qib_Hauc</t>
  </si>
  <si>
    <t>: Matlab</t>
  </si>
  <si>
    <t>https://www.spglobal.com/marketintelligence/en/news-insights/latest-news-headlines/us-bankruptcies-hit-13-year-peak-in-2023-50-new-filings-in-december-79967180</t>
  </si>
  <si>
    <t>data training</t>
  </si>
  <si>
    <t>Catatan</t>
  </si>
  <si>
    <t>Pendapatan Bersih adalah omset</t>
  </si>
  <si>
    <t>pendptan quartal adalah pendapatan di periode quartal saja sehingga angak d laporan d selisihkan dengan quartal seblmnya</t>
  </si>
  <si>
    <t>Rawhide Mining LLC</t>
  </si>
  <si>
    <t>El Dorado Gas &amp; Oil Inc.</t>
  </si>
  <si>
    <t>PT</t>
  </si>
  <si>
    <t>Link</t>
  </si>
  <si>
    <t>https://app.quotemedia.com/data/downloadFiling?webmasterId=101533&amp;ref=318094535&amp;type=HTML&amp;cdn=9d7fd6508ff23123dbaf1ba451f13032&amp;formType=10-K&amp;dateFiled=2024-02-23&amp;cik=0001064728&amp;symbol=0001064728&amp;companyName=#ie56c9a92322a446ab09b275bd8219049_118</t>
  </si>
  <si>
    <t>https://www.eldoradogold.com/investors/financial-information/quarterly-results/default.aspx</t>
  </si>
  <si>
    <t>https://intellizence.com/insights/bankruptcy/leading-companies-filing-for-bankruptcy/</t>
  </si>
  <si>
    <t>https://www.ebix.com/inv-result</t>
  </si>
  <si>
    <t>Ebix Inc.</t>
  </si>
  <si>
    <t>Q4 2023 tidak ada</t>
  </si>
  <si>
    <t>https://investors.isunenergy.com/financial-info</t>
  </si>
  <si>
    <t>iSun</t>
  </si>
  <si>
    <t>https://investors.express.com/financials-filings/quarterly-reports/default.aspx</t>
  </si>
  <si>
    <t>Express</t>
  </si>
  <si>
    <t>https://www.thestreet.com/economy/most-notable-business-bankruptcies-of-the-year</t>
  </si>
  <si>
    <t>https://market.bisnis.com/read/20240225/7/1743855/daftar-emiten-pailit-di-bursa-efek-indonesia-bei-tato-khusus-b</t>
  </si>
  <si>
    <t>Ekadharma International Tbk</t>
  </si>
  <si>
    <t>BARAMULTI SUKSESSARANA TBK</t>
  </si>
  <si>
    <t>INDUSTRI JAMU &amp; FARMASI SIDO MUNCUL</t>
  </si>
  <si>
    <t>SIDO</t>
  </si>
  <si>
    <t>BRRS</t>
  </si>
  <si>
    <t xml:space="preserve">Siantar Top Tbk </t>
  </si>
  <si>
    <t>STTP</t>
  </si>
  <si>
    <t>Akasha Wira International Tbk</t>
  </si>
  <si>
    <t>ADES</t>
  </si>
  <si>
    <t>PT SELAMAT SEMPURNA Tbk</t>
  </si>
  <si>
    <t>Aneka Tambang Tbk.</t>
  </si>
  <si>
    <t>ANTM</t>
  </si>
  <si>
    <t xml:space="preserve">Indo Tambangraya Megah Tbk </t>
  </si>
  <si>
    <t>ITMG</t>
  </si>
  <si>
    <t xml:space="preserve">Tambang Batubara Bukit Asam Tbk </t>
  </si>
  <si>
    <t>PTBA</t>
  </si>
  <si>
    <t>Kalbe Farma Tbk</t>
  </si>
  <si>
    <t>KLBF</t>
  </si>
  <si>
    <t>Pakuwon Jati Tbk</t>
  </si>
  <si>
    <t>PWON</t>
  </si>
  <si>
    <t>Surya Citra Media Tbk</t>
  </si>
  <si>
    <t>SCMA</t>
  </si>
  <si>
    <t>United Tractors Tbk</t>
  </si>
  <si>
    <t>UNTR</t>
  </si>
  <si>
    <t xml:space="preserve">PT Chitose Internasional Tbk </t>
  </si>
  <si>
    <t>CINT</t>
  </si>
  <si>
    <t>INCO</t>
  </si>
  <si>
    <t>Vale Indonesia Tbk</t>
  </si>
  <si>
    <t>EKAD</t>
  </si>
  <si>
    <t>SMSM</t>
  </si>
  <si>
    <t>https://putusan3.mahkamahagung.go.id/search.html?q=pailit&amp;cat=35ba6ef3a483c9085cd94932ea0ada61&amp;t_put=2023</t>
  </si>
  <si>
    <t xml:space="preserve">PT Borneo Olah Sarana Sukses Tbk </t>
  </si>
  <si>
    <t>BOSS</t>
  </si>
  <si>
    <t>2018 Q4</t>
  </si>
  <si>
    <t>2018 Q3</t>
  </si>
  <si>
    <t>ETWA</t>
  </si>
  <si>
    <t>PT ETERINDO WAHANATAMA</t>
  </si>
  <si>
    <t>PT Cowel Development Tbk</t>
  </si>
  <si>
    <t>HKMU</t>
  </si>
  <si>
    <t>PT HK Metals Utama Tbk</t>
  </si>
  <si>
    <t>PT Grand Kartech Tbk</t>
  </si>
  <si>
    <t>KRAH</t>
  </si>
  <si>
    <t>2014 Q4</t>
  </si>
  <si>
    <t>Prima Alloy Steel Universal</t>
  </si>
  <si>
    <t>PRAS</t>
  </si>
  <si>
    <t>BTEL</t>
  </si>
  <si>
    <t>Bumi Resources Tbk</t>
  </si>
  <si>
    <t>BUMI</t>
  </si>
  <si>
    <t xml:space="preserve">PT Bakrie Telecom Tbk </t>
  </si>
  <si>
    <t>Modernland Realty Ltd Tbk</t>
  </si>
  <si>
    <t>MDLN</t>
  </si>
  <si>
    <t>FKS Food Sejahtera Tbk PT</t>
  </si>
  <si>
    <t>AISA</t>
  </si>
  <si>
    <t>Indosat Tbk</t>
  </si>
  <si>
    <t>ISAT</t>
  </si>
  <si>
    <t>Krakatau Steel Persero Tbk</t>
  </si>
  <si>
    <t>KRAS</t>
  </si>
  <si>
    <t>Bakrie Sumatera Plantations</t>
  </si>
  <si>
    <t>UNSP</t>
  </si>
  <si>
    <t>Multipolar Tbk</t>
  </si>
  <si>
    <t>MLPL</t>
  </si>
  <si>
    <t>Visi Media Asia Tbk</t>
  </si>
  <si>
    <t>VIVA</t>
  </si>
  <si>
    <t>https://sahamee.com/saham/VIVA/laporan-laba-rugi</t>
  </si>
  <si>
    <t>N</t>
  </si>
  <si>
    <t>Max</t>
  </si>
  <si>
    <t>Min</t>
  </si>
  <si>
    <t>Mean</t>
  </si>
  <si>
    <t>- Buat Standar Deviasi All Data Training</t>
  </si>
  <si>
    <t>'- Buat Standar Deviasi perusahaan non distress</t>
  </si>
  <si>
    <t>'- Buat Standar Deviasi perusahaan distress</t>
  </si>
  <si>
    <t>PR hari ini 8 juli</t>
  </si>
  <si>
    <t>CR-Total</t>
  </si>
  <si>
    <t>Median</t>
  </si>
  <si>
    <t>https://www.youtube.com/watch?v=cyI7PnrEkWE</t>
  </si>
  <si>
    <t>Cara hitung statistik deskriptif</t>
  </si>
  <si>
    <t>ROA-Total</t>
  </si>
  <si>
    <t>DAR-Total</t>
  </si>
  <si>
    <t>CR-ND</t>
  </si>
  <si>
    <t>ROA-ND</t>
  </si>
  <si>
    <t>DAR-ND</t>
  </si>
  <si>
    <t>CR-D</t>
  </si>
  <si>
    <t>ROA-D</t>
  </si>
  <si>
    <t>DAR-D</t>
  </si>
  <si>
    <t>https://www.youtube.com/watch?v=eVIPc5u_sZw</t>
  </si>
  <si>
    <t>Tutor Matlab</t>
  </si>
  <si>
    <t>EXPRESS, INC.</t>
  </si>
  <si>
    <t>Ebit</t>
  </si>
  <si>
    <t>Std Deviasi</t>
  </si>
  <si>
    <t>H1</t>
  </si>
  <si>
    <t>0.093912</t>
  </si>
  <si>
    <t>0.090785</t>
  </si>
  <si>
    <t>H10</t>
  </si>
  <si>
    <t>0.09288</t>
  </si>
  <si>
    <t>H25</t>
  </si>
  <si>
    <t>0.41312</t>
  </si>
  <si>
    <t>H50</t>
  </si>
  <si>
    <t>H5</t>
  </si>
  <si>
    <t>0.19219</t>
  </si>
  <si>
    <t>H15</t>
  </si>
  <si>
    <t>H20</t>
  </si>
  <si>
    <t>H30</t>
  </si>
  <si>
    <t>H35</t>
  </si>
  <si>
    <t>H40</t>
  </si>
  <si>
    <t>H45</t>
  </si>
  <si>
    <t>H55</t>
  </si>
  <si>
    <t>H60</t>
  </si>
  <si>
    <t>0.21693</t>
  </si>
  <si>
    <t>0.31256</t>
  </si>
  <si>
    <t>0.45776</t>
  </si>
  <si>
    <t>0.22484</t>
  </si>
  <si>
    <t>0.18726</t>
  </si>
  <si>
    <t>0.38593</t>
  </si>
  <si>
    <t>0.61174</t>
  </si>
  <si>
    <t>0.066475</t>
  </si>
  <si>
    <t>COWL</t>
  </si>
  <si>
    <t>WBIT</t>
  </si>
  <si>
    <t>EXPR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</si>
</sst>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#,##0.000000_);[Red]\(#,##0.000000\)"/>
    <numFmt numFmtId="165" formatCode="_(* #,##0.0000_);_(* \(#,##0.0000\);_(* &quot;-&quot;_);_(@_)"/>
    <numFmt numFmtId="166" formatCode="0.000"/>
    <numFmt numFmtId="167" formatCode="0.0000"/>
    <numFmt numFmtId="168" formatCode="_(* #,##0.000000_);_(* \(#,##0.000000\);_(* &quot;-&quot;_);_(@_)"/>
    <numFmt numFmtId="174" formatCode="#,##0;\(#,##0\)"/>
  </numFmts>
  <fonts count="5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Helvetica"/>
      <family val="2"/>
    </font>
    <font>
      <sz val="8"/>
      <color theme="1"/>
      <name val="Arial,Bold"/>
    </font>
    <font>
      <b/>
      <sz val="18"/>
      <color rgb="FF000000"/>
      <name val="Arial"/>
      <family val="2"/>
    </font>
    <font>
      <sz val="15"/>
      <color rgb="FF444444"/>
      <name val="Arial"/>
      <family val="2"/>
    </font>
    <font>
      <b/>
      <sz val="24"/>
      <color rgb="FF393939"/>
      <name val="Arial"/>
      <family val="2"/>
    </font>
    <font>
      <u/>
      <sz val="12"/>
      <color theme="10"/>
      <name val="Calibri"/>
      <family val="2"/>
      <scheme val="minor"/>
    </font>
    <font>
      <sz val="16"/>
      <color rgb="FF000000"/>
      <name val="Arial"/>
      <family val="2"/>
    </font>
    <font>
      <sz val="16"/>
      <color rgb="FF11111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1111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93939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Helvetica Neue"/>
      <family val="2"/>
    </font>
    <font>
      <sz val="14"/>
      <color theme="1"/>
      <name val="Helvetica Neue"/>
      <family val="2"/>
    </font>
    <font>
      <sz val="9"/>
      <color theme="1"/>
      <name val="CIDFont+F1"/>
    </font>
    <font>
      <sz val="9"/>
      <color theme="1"/>
      <name val="CIDFont+F3"/>
    </font>
    <font>
      <sz val="9"/>
      <color theme="1"/>
      <name val="CIDFont+F2"/>
    </font>
    <font>
      <sz val="9"/>
      <color theme="1"/>
      <name val="TimesNewRomanPSMT"/>
    </font>
    <font>
      <sz val="10"/>
      <color theme="1"/>
      <name val="Times"/>
    </font>
    <font>
      <sz val="10"/>
      <color theme="1"/>
      <name val="TimesNewRomanPSMT"/>
    </font>
    <font>
      <sz val="14"/>
      <color rgb="FF333333"/>
      <name val="Open_sansregular"/>
    </font>
    <font>
      <b/>
      <sz val="14"/>
      <color rgb="FF333333"/>
      <name val="Open_sansregular"/>
    </font>
    <font>
      <b/>
      <sz val="10"/>
      <color rgb="FF000000"/>
      <name val="Open_sansregular"/>
    </font>
    <font>
      <sz val="12"/>
      <color theme="1"/>
      <name val="Aptos"/>
    </font>
    <font>
      <sz val="12"/>
      <color rgb="FF000000"/>
      <name val="Calibri"/>
      <family val="2"/>
    </font>
    <font>
      <sz val="12"/>
      <color rgb="FF000000"/>
      <name val="Aptos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333333"/>
      <name val="Times New Roman"/>
      <family val="1"/>
    </font>
    <font>
      <sz val="11"/>
      <color rgb="FF444444"/>
      <name val="Times New Roman"/>
      <family val="1"/>
    </font>
    <font>
      <sz val="11"/>
      <color rgb="FF111111"/>
      <name val="Times New Roman"/>
      <family val="1"/>
    </font>
    <font>
      <b/>
      <sz val="6"/>
      <color theme="1"/>
      <name val="Arial"/>
      <family val="2"/>
    </font>
    <font>
      <sz val="8"/>
      <color theme="1"/>
      <name val="ArialMT"/>
    </font>
    <font>
      <sz val="8"/>
      <color theme="1"/>
      <name val="Arial Bold"/>
    </font>
    <font>
      <sz val="9"/>
      <color theme="1"/>
      <name val="Calibri,Bold"/>
    </font>
    <font>
      <sz val="7"/>
      <color theme="1"/>
      <name val="Verdana"/>
      <family val="2"/>
    </font>
    <font>
      <sz val="8"/>
      <color theme="1"/>
      <name val="ArialNarrow"/>
    </font>
    <font>
      <b/>
      <sz val="7"/>
      <color theme="1"/>
      <name val="ArialNarrow"/>
    </font>
    <font>
      <b/>
      <sz val="8"/>
      <color theme="1"/>
      <name val="ArialNarrow"/>
    </font>
    <font>
      <sz val="9"/>
      <color theme="1"/>
      <name val="Arial,Bold"/>
    </font>
    <font>
      <sz val="9"/>
      <color theme="1"/>
      <name val="Calibri"/>
      <family val="2"/>
      <charset val="128"/>
      <scheme val="minor"/>
    </font>
    <font>
      <sz val="9"/>
      <name val="Arial"/>
      <family val="2"/>
    </font>
    <font>
      <sz val="7"/>
      <color theme="1"/>
      <name val="ArialMT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79F9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1"/>
        <bgColor theme="6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rgb="FF9E9E9E"/>
      </bottom>
      <diagonal/>
    </border>
    <border>
      <left/>
      <right/>
      <top/>
      <bottom style="medium">
        <color rgb="FF9E9E9E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46" fillId="0" borderId="0">
      <alignment vertical="center"/>
    </xf>
  </cellStyleXfs>
  <cellXfs count="255">
    <xf numFmtId="0" fontId="0" fillId="0" borderId="0" xfId="0"/>
    <xf numFmtId="41" fontId="0" fillId="0" borderId="0" xfId="2" applyFont="1"/>
    <xf numFmtId="41" fontId="2" fillId="0" borderId="0" xfId="2" applyFont="1"/>
    <xf numFmtId="0" fontId="2" fillId="0" borderId="0" xfId="0" applyFont="1"/>
    <xf numFmtId="10" fontId="0" fillId="3" borderId="1" xfId="1" applyNumberFormat="1" applyFont="1" applyFill="1" applyBorder="1"/>
    <xf numFmtId="0" fontId="0" fillId="0" borderId="0" xfId="0" applyAlignment="1">
      <alignment horizontal="center"/>
    </xf>
    <xf numFmtId="0" fontId="0" fillId="3" borderId="0" xfId="0" applyFill="1"/>
    <xf numFmtId="3" fontId="0" fillId="0" borderId="0" xfId="0" applyNumberFormat="1"/>
    <xf numFmtId="41" fontId="1" fillId="0" borderId="0" xfId="2" applyFont="1"/>
    <xf numFmtId="9" fontId="0" fillId="3" borderId="1" xfId="1" applyFont="1" applyFill="1" applyBorder="1"/>
    <xf numFmtId="0" fontId="0" fillId="4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7" fontId="5" fillId="0" borderId="0" xfId="0" applyNumberFormat="1" applyFont="1"/>
    <xf numFmtId="0" fontId="7" fillId="3" borderId="0" xfId="3" applyFill="1"/>
    <xf numFmtId="0" fontId="8" fillId="0" borderId="0" xfId="0" applyFont="1"/>
    <xf numFmtId="0" fontId="7" fillId="0" borderId="0" xfId="3"/>
    <xf numFmtId="0" fontId="9" fillId="0" borderId="0" xfId="0" applyFont="1"/>
    <xf numFmtId="41" fontId="10" fillId="0" borderId="0" xfId="2" applyFont="1"/>
    <xf numFmtId="41" fontId="3" fillId="0" borderId="0" xfId="2" applyFont="1"/>
    <xf numFmtId="41" fontId="0" fillId="0" borderId="0" xfId="2" applyFont="1" applyFill="1"/>
    <xf numFmtId="9" fontId="0" fillId="3" borderId="3" xfId="1" applyFont="1" applyFill="1" applyBorder="1"/>
    <xf numFmtId="10" fontId="0" fillId="3" borderId="3" xfId="1" applyNumberFormat="1" applyFont="1" applyFill="1" applyBorder="1"/>
    <xf numFmtId="0" fontId="0" fillId="0" borderId="2" xfId="0" applyBorder="1"/>
    <xf numFmtId="41" fontId="0" fillId="0" borderId="2" xfId="2" applyFont="1" applyFill="1" applyBorder="1"/>
    <xf numFmtId="41" fontId="0" fillId="0" borderId="2" xfId="2" applyFont="1" applyBorder="1"/>
    <xf numFmtId="0" fontId="0" fillId="3" borderId="2" xfId="0" applyFill="1" applyBorder="1"/>
    <xf numFmtId="0" fontId="12" fillId="0" borderId="0" xfId="0" applyFont="1"/>
    <xf numFmtId="41" fontId="18" fillId="0" borderId="0" xfId="2" applyFont="1"/>
    <xf numFmtId="41" fontId="19" fillId="0" borderId="0" xfId="2" applyFont="1"/>
    <xf numFmtId="41" fontId="0" fillId="0" borderId="7" xfId="2" applyFont="1" applyFill="1" applyBorder="1"/>
    <xf numFmtId="41" fontId="0" fillId="0" borderId="8" xfId="2" applyFont="1" applyFill="1" applyBorder="1"/>
    <xf numFmtId="41" fontId="12" fillId="0" borderId="0" xfId="2" applyFont="1"/>
    <xf numFmtId="41" fontId="15" fillId="0" borderId="0" xfId="2" applyFont="1"/>
    <xf numFmtId="41" fontId="25" fillId="0" borderId="0" xfId="2" applyFont="1"/>
    <xf numFmtId="41" fontId="23" fillId="0" borderId="0" xfId="2" applyFont="1"/>
    <xf numFmtId="41" fontId="24" fillId="0" borderId="0" xfId="2" applyFont="1"/>
    <xf numFmtId="41" fontId="22" fillId="0" borderId="0" xfId="2" applyFont="1"/>
    <xf numFmtId="41" fontId="20" fillId="0" borderId="0" xfId="2" applyFont="1"/>
    <xf numFmtId="41" fontId="21" fillId="0" borderId="0" xfId="2" applyFont="1"/>
    <xf numFmtId="41" fontId="26" fillId="0" borderId="0" xfId="2" applyFont="1"/>
    <xf numFmtId="41" fontId="27" fillId="0" borderId="0" xfId="2" applyFont="1"/>
    <xf numFmtId="41" fontId="28" fillId="0" borderId="0" xfId="2" applyFont="1"/>
    <xf numFmtId="41" fontId="26" fillId="0" borderId="0" xfId="2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2" xfId="0" applyNumberFormat="1" applyBorder="1"/>
    <xf numFmtId="164" fontId="0" fillId="0" borderId="0" xfId="2" applyNumberFormat="1" applyFont="1" applyFill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  <xf numFmtId="164" fontId="0" fillId="0" borderId="0" xfId="2" applyNumberFormat="1" applyFont="1" applyFill="1"/>
    <xf numFmtId="164" fontId="0" fillId="0" borderId="7" xfId="0" applyNumberFormat="1" applyBorder="1"/>
    <xf numFmtId="164" fontId="0" fillId="0" borderId="0" xfId="2" applyNumberFormat="1" applyFont="1"/>
    <xf numFmtId="164" fontId="19" fillId="0" borderId="0" xfId="2" applyNumberFormat="1" applyFont="1"/>
    <xf numFmtId="164" fontId="18" fillId="0" borderId="0" xfId="2" applyNumberFormat="1" applyFont="1"/>
    <xf numFmtId="164" fontId="12" fillId="0" borderId="0" xfId="0" applyNumberFormat="1" applyFont="1"/>
    <xf numFmtId="164" fontId="0" fillId="0" borderId="0" xfId="0" quotePrefix="1" applyNumberFormat="1"/>
    <xf numFmtId="164" fontId="0" fillId="0" borderId="1" xfId="2" applyNumberFormat="1" applyFont="1" applyFill="1" applyBorder="1"/>
    <xf numFmtId="164" fontId="0" fillId="0" borderId="0" xfId="2" applyNumberFormat="1" applyFont="1" applyFill="1" applyBorder="1"/>
    <xf numFmtId="164" fontId="0" fillId="0" borderId="0" xfId="1" applyNumberFormat="1" applyFont="1" applyFill="1" applyBorder="1"/>
    <xf numFmtId="164" fontId="0" fillId="0" borderId="0" xfId="1" applyNumberFormat="1" applyFont="1" applyFill="1"/>
    <xf numFmtId="164" fontId="0" fillId="0" borderId="1" xfId="0" applyNumberFormat="1" applyBorder="1" applyAlignment="1">
      <alignment horizontal="left" vertical="center" wrapText="1"/>
    </xf>
    <xf numFmtId="164" fontId="0" fillId="0" borderId="1" xfId="1" applyNumberFormat="1" applyFont="1" applyFill="1" applyBorder="1"/>
    <xf numFmtId="164" fontId="0" fillId="0" borderId="1" xfId="0" applyNumberFormat="1" applyBorder="1"/>
    <xf numFmtId="164" fontId="0" fillId="0" borderId="1" xfId="1" applyNumberFormat="1" applyFont="1" applyBorder="1"/>
    <xf numFmtId="164" fontId="0" fillId="6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164" fontId="15" fillId="0" borderId="0" xfId="0" applyNumberFormat="1" applyFont="1"/>
    <xf numFmtId="164" fontId="13" fillId="0" borderId="0" xfId="0" applyNumberFormat="1" applyFont="1"/>
    <xf numFmtId="164" fontId="14" fillId="0" borderId="0" xfId="0" applyNumberFormat="1" applyFont="1"/>
    <xf numFmtId="164" fontId="16" fillId="0" borderId="0" xfId="0" applyNumberFormat="1" applyFont="1"/>
    <xf numFmtId="164" fontId="7" fillId="0" borderId="0" xfId="3" applyNumberFormat="1" applyFill="1"/>
    <xf numFmtId="164" fontId="7" fillId="0" borderId="0" xfId="3" applyNumberFormat="1"/>
    <xf numFmtId="41" fontId="0" fillId="0" borderId="0" xfId="2" applyFont="1" applyFill="1" applyBorder="1"/>
    <xf numFmtId="1" fontId="0" fillId="0" borderId="0" xfId="0" applyNumberFormat="1"/>
    <xf numFmtId="1" fontId="0" fillId="0" borderId="7" xfId="0" applyNumberFormat="1" applyBorder="1"/>
    <xf numFmtId="1" fontId="0" fillId="0" borderId="1" xfId="0" applyNumberFormat="1" applyBorder="1"/>
    <xf numFmtId="41" fontId="0" fillId="0" borderId="0" xfId="2" applyFont="1" applyBorder="1"/>
    <xf numFmtId="164" fontId="0" fillId="0" borderId="0" xfId="1" applyNumberFormat="1" applyFont="1" applyBorder="1"/>
    <xf numFmtId="165" fontId="0" fillId="0" borderId="0" xfId="2" applyNumberFormat="1" applyFont="1"/>
    <xf numFmtId="166" fontId="0" fillId="0" borderId="0" xfId="2" applyNumberFormat="1" applyFont="1"/>
    <xf numFmtId="167" fontId="0" fillId="0" borderId="0" xfId="2" applyNumberFormat="1" applyFont="1"/>
    <xf numFmtId="0" fontId="30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8" fontId="0" fillId="0" borderId="0" xfId="2" applyNumberFormat="1" applyFont="1"/>
    <xf numFmtId="1" fontId="0" fillId="7" borderId="0" xfId="0" applyNumberFormat="1" applyFill="1"/>
    <xf numFmtId="164" fontId="0" fillId="7" borderId="0" xfId="0" applyNumberFormat="1" applyFill="1"/>
    <xf numFmtId="164" fontId="0" fillId="7" borderId="2" xfId="0" applyNumberFormat="1" applyFill="1" applyBorder="1"/>
    <xf numFmtId="164" fontId="0" fillId="0" borderId="1" xfId="0" applyNumberFormat="1" applyBorder="1" applyAlignment="1">
      <alignment horizontal="center"/>
    </xf>
    <xf numFmtId="1" fontId="0" fillId="7" borderId="1" xfId="0" applyNumberFormat="1" applyFill="1" applyBorder="1"/>
    <xf numFmtId="164" fontId="0" fillId="7" borderId="1" xfId="0" applyNumberFormat="1" applyFill="1" applyBorder="1"/>
    <xf numFmtId="164" fontId="0" fillId="0" borderId="1" xfId="0" applyNumberFormat="1" applyBorder="1" applyAlignment="1">
      <alignment vertical="center" wrapText="1"/>
    </xf>
    <xf numFmtId="164" fontId="0" fillId="7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7" borderId="1" xfId="0" applyNumberForma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0" fontId="0" fillId="3" borderId="0" xfId="1" applyNumberFormat="1" applyFont="1" applyFill="1" applyBorder="1"/>
    <xf numFmtId="9" fontId="0" fillId="3" borderId="1" xfId="1" applyFont="1" applyFill="1" applyBorder="1" applyAlignment="1">
      <alignment horizontal="center"/>
    </xf>
    <xf numFmtId="9" fontId="0" fillId="0" borderId="0" xfId="0" applyNumberFormat="1"/>
    <xf numFmtId="10" fontId="0" fillId="3" borderId="1" xfId="1" applyNumberFormat="1" applyFont="1" applyFill="1" applyBorder="1" applyAlignment="1">
      <alignment horizontal="center"/>
    </xf>
    <xf numFmtId="0" fontId="0" fillId="4" borderId="1" xfId="0" applyFill="1" applyBorder="1"/>
    <xf numFmtId="17" fontId="0" fillId="3" borderId="0" xfId="0" applyNumberFormat="1" applyFill="1"/>
    <xf numFmtId="41" fontId="32" fillId="0" borderId="2" xfId="2" applyFont="1" applyBorder="1"/>
    <xf numFmtId="41" fontId="32" fillId="0" borderId="0" xfId="2" applyFont="1"/>
    <xf numFmtId="41" fontId="33" fillId="0" borderId="0" xfId="2" applyFont="1"/>
    <xf numFmtId="41" fontId="32" fillId="0" borderId="0" xfId="2" applyFont="1" applyFill="1" applyBorder="1"/>
    <xf numFmtId="41" fontId="32" fillId="0" borderId="0" xfId="2" applyFont="1" applyBorder="1"/>
    <xf numFmtId="41" fontId="32" fillId="0" borderId="1" xfId="2" applyFont="1" applyBorder="1" applyAlignment="1">
      <alignment horizontal="center"/>
    </xf>
    <xf numFmtId="41" fontId="32" fillId="0" borderId="1" xfId="2" applyFont="1" applyFill="1" applyBorder="1" applyAlignment="1">
      <alignment horizontal="center"/>
    </xf>
    <xf numFmtId="41" fontId="32" fillId="7" borderId="0" xfId="2" applyFont="1" applyFill="1" applyBorder="1"/>
    <xf numFmtId="41" fontId="32" fillId="0" borderId="1" xfId="2" applyFont="1" applyBorder="1" applyAlignment="1"/>
    <xf numFmtId="41" fontId="35" fillId="0" borderId="0" xfId="2" applyFont="1"/>
    <xf numFmtId="41" fontId="36" fillId="0" borderId="0" xfId="2" applyFont="1"/>
    <xf numFmtId="164" fontId="0" fillId="0" borderId="1" xfId="2" applyNumberFormat="1" applyFont="1" applyFill="1" applyBorder="1" applyAlignment="1">
      <alignment horizontal="center"/>
    </xf>
    <xf numFmtId="41" fontId="32" fillId="0" borderId="1" xfId="2" applyFont="1" applyBorder="1"/>
    <xf numFmtId="41" fontId="32" fillId="0" borderId="1" xfId="2" applyFont="1" applyFill="1" applyBorder="1"/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2" fillId="4" borderId="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15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7" fillId="0" borderId="0" xfId="3" applyNumberFormat="1" applyFill="1" applyAlignment="1">
      <alignment horizontal="center"/>
    </xf>
    <xf numFmtId="164" fontId="7" fillId="0" borderId="0" xfId="3" applyNumberFormat="1" applyAlignment="1">
      <alignment horizontal="center"/>
    </xf>
    <xf numFmtId="41" fontId="33" fillId="0" borderId="1" xfId="2" applyFont="1" applyBorder="1"/>
    <xf numFmtId="41" fontId="34" fillId="0" borderId="1" xfId="2" applyFont="1" applyBorder="1"/>
    <xf numFmtId="41" fontId="34" fillId="0" borderId="1" xfId="2" applyFont="1" applyBorder="1" applyAlignment="1">
      <alignment horizontal="right"/>
    </xf>
    <xf numFmtId="0" fontId="0" fillId="0" borderId="1" xfId="0" applyBorder="1" applyAlignment="1">
      <alignment vertical="center" wrapText="1"/>
    </xf>
    <xf numFmtId="0" fontId="12" fillId="4" borderId="1" xfId="0" applyFont="1" applyFill="1" applyBorder="1"/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1" fontId="0" fillId="0" borderId="1" xfId="0" applyNumberFormat="1" applyBorder="1"/>
    <xf numFmtId="41" fontId="0" fillId="0" borderId="1" xfId="2" applyFont="1" applyFill="1" applyBorder="1"/>
    <xf numFmtId="41" fontId="0" fillId="0" borderId="1" xfId="2" applyFont="1" applyBorder="1"/>
    <xf numFmtId="41" fontId="2" fillId="0" borderId="1" xfId="2" applyFont="1" applyFill="1" applyBorder="1"/>
    <xf numFmtId="41" fontId="2" fillId="0" borderId="1" xfId="2" applyFont="1" applyBorder="1"/>
    <xf numFmtId="41" fontId="11" fillId="0" borderId="1" xfId="2" applyFont="1" applyFill="1" applyBorder="1"/>
    <xf numFmtId="41" fontId="11" fillId="0" borderId="1" xfId="2" applyFont="1" applyBorder="1"/>
    <xf numFmtId="41" fontId="10" fillId="0" borderId="1" xfId="2" applyFont="1" applyBorder="1"/>
    <xf numFmtId="0" fontId="2" fillId="0" borderId="1" xfId="0" applyFont="1" applyBorder="1"/>
    <xf numFmtId="41" fontId="1" fillId="0" borderId="1" xfId="2" applyFont="1" applyBorder="1"/>
    <xf numFmtId="0" fontId="1" fillId="0" borderId="1" xfId="0" applyFont="1" applyBorder="1"/>
    <xf numFmtId="3" fontId="0" fillId="0" borderId="1" xfId="0" applyNumberFormat="1" applyBorder="1"/>
    <xf numFmtId="41" fontId="3" fillId="0" borderId="1" xfId="2" applyFont="1" applyBorder="1"/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41" fontId="32" fillId="7" borderId="12" xfId="2" applyFont="1" applyFill="1" applyBorder="1" applyAlignment="1">
      <alignment horizontal="center"/>
    </xf>
    <xf numFmtId="41" fontId="32" fillId="7" borderId="13" xfId="2" applyFont="1" applyFill="1" applyBorder="1" applyAlignment="1">
      <alignment horizontal="center"/>
    </xf>
    <xf numFmtId="41" fontId="32" fillId="7" borderId="1" xfId="2" applyFont="1" applyFill="1" applyBorder="1" applyAlignment="1">
      <alignment horizontal="center"/>
    </xf>
    <xf numFmtId="41" fontId="32" fillId="0" borderId="1" xfId="2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2" fillId="4" borderId="1" xfId="2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8" fontId="12" fillId="0" borderId="0" xfId="0" applyNumberFormat="1" applyFont="1"/>
    <xf numFmtId="38" fontId="12" fillId="0" borderId="0" xfId="0" applyNumberFormat="1" applyFont="1" applyAlignment="1">
      <alignment horizontal="center"/>
    </xf>
    <xf numFmtId="38" fontId="0" fillId="0" borderId="0" xfId="0" applyNumberFormat="1"/>
    <xf numFmtId="38" fontId="0" fillId="0" borderId="0" xfId="2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38" fontId="0" fillId="0" borderId="2" xfId="0" applyNumberFormat="1" applyBorder="1" applyAlignment="1">
      <alignment horizontal="center"/>
    </xf>
    <xf numFmtId="38" fontId="0" fillId="0" borderId="0" xfId="0" applyNumberFormat="1" applyAlignment="1">
      <alignment vertical="center" wrapText="1"/>
    </xf>
    <xf numFmtId="38" fontId="0" fillId="0" borderId="2" xfId="0" applyNumberFormat="1" applyBorder="1"/>
    <xf numFmtId="38" fontId="0" fillId="0" borderId="0" xfId="0" applyNumberFormat="1" applyAlignment="1">
      <alignment horizontal="left" vertical="center" wrapText="1"/>
    </xf>
    <xf numFmtId="38" fontId="2" fillId="0" borderId="0" xfId="0" applyNumberFormat="1" applyFont="1"/>
    <xf numFmtId="38" fontId="0" fillId="0" borderId="0" xfId="2" applyNumberFormat="1" applyFont="1" applyFill="1"/>
    <xf numFmtId="38" fontId="0" fillId="0" borderId="2" xfId="2" applyNumberFormat="1" applyFont="1" applyFill="1" applyBorder="1"/>
    <xf numFmtId="38" fontId="0" fillId="0" borderId="0" xfId="2" applyNumberFormat="1" applyFont="1"/>
    <xf numFmtId="38" fontId="0" fillId="0" borderId="2" xfId="2" applyNumberFormat="1" applyFont="1" applyBorder="1"/>
    <xf numFmtId="38" fontId="0" fillId="0" borderId="0" xfId="2" applyNumberFormat="1" applyFont="1" applyAlignment="1">
      <alignment vertical="center" wrapText="1"/>
    </xf>
    <xf numFmtId="38" fontId="2" fillId="0" borderId="0" xfId="2" applyNumberFormat="1" applyFont="1"/>
    <xf numFmtId="38" fontId="37" fillId="0" borderId="0" xfId="2" applyNumberFormat="1" applyFont="1"/>
    <xf numFmtId="38" fontId="2" fillId="0" borderId="2" xfId="2" applyNumberFormat="1" applyFont="1" applyBorder="1"/>
    <xf numFmtId="38" fontId="3" fillId="0" borderId="0" xfId="2" applyNumberFormat="1" applyFont="1"/>
    <xf numFmtId="38" fontId="0" fillId="5" borderId="0" xfId="0" applyNumberFormat="1" applyFill="1" applyAlignment="1">
      <alignment vertical="center" wrapText="1"/>
    </xf>
    <xf numFmtId="38" fontId="38" fillId="0" borderId="0" xfId="2" applyNumberFormat="1" applyFont="1"/>
    <xf numFmtId="38" fontId="1" fillId="0" borderId="0" xfId="2" applyNumberFormat="1" applyFont="1"/>
    <xf numFmtId="38" fontId="1" fillId="0" borderId="0" xfId="0" applyNumberFormat="1" applyFont="1"/>
    <xf numFmtId="38" fontId="39" fillId="0" borderId="0" xfId="2" applyNumberFormat="1" applyFont="1"/>
    <xf numFmtId="38" fontId="0" fillId="5" borderId="0" xfId="0" applyNumberFormat="1" applyFill="1" applyAlignment="1">
      <alignment horizontal="center" vertical="center" wrapText="1"/>
    </xf>
    <xf numFmtId="38" fontId="0" fillId="4" borderId="0" xfId="0" applyNumberFormat="1" applyFill="1"/>
    <xf numFmtId="38" fontId="0" fillId="4" borderId="2" xfId="0" applyNumberFormat="1" applyFill="1" applyBorder="1"/>
    <xf numFmtId="38" fontId="0" fillId="0" borderId="0" xfId="0" applyNumberFormat="1" applyAlignment="1">
      <alignment horizontal="center"/>
    </xf>
    <xf numFmtId="38" fontId="0" fillId="3" borderId="0" xfId="0" applyNumberFormat="1" applyFill="1" applyAlignment="1">
      <alignment horizontal="left" vertical="center" wrapText="1"/>
    </xf>
    <xf numFmtId="38" fontId="0" fillId="3" borderId="4" xfId="0" applyNumberFormat="1" applyFill="1" applyBorder="1" applyAlignment="1">
      <alignment horizontal="center" vertical="center" wrapText="1"/>
    </xf>
    <xf numFmtId="38" fontId="0" fillId="3" borderId="0" xfId="0" applyNumberFormat="1" applyFill="1"/>
    <xf numFmtId="38" fontId="0" fillId="3" borderId="0" xfId="0" applyNumberFormat="1" applyFill="1" applyAlignment="1">
      <alignment vertical="center" wrapText="1"/>
    </xf>
    <xf numFmtId="38" fontId="0" fillId="3" borderId="5" xfId="0" applyNumberFormat="1" applyFill="1" applyBorder="1" applyAlignment="1">
      <alignment horizontal="center" vertical="center" wrapText="1"/>
    </xf>
    <xf numFmtId="38" fontId="0" fillId="3" borderId="0" xfId="0" applyNumberFormat="1" applyFill="1" applyAlignment="1">
      <alignment horizontal="center" vertical="center" wrapText="1"/>
    </xf>
    <xf numFmtId="38" fontId="0" fillId="3" borderId="6" xfId="0" applyNumberFormat="1" applyFill="1" applyBorder="1" applyAlignment="1">
      <alignment horizontal="center" vertical="center" wrapText="1"/>
    </xf>
    <xf numFmtId="38" fontId="0" fillId="3" borderId="2" xfId="0" applyNumberFormat="1" applyFill="1" applyBorder="1"/>
    <xf numFmtId="38" fontId="4" fillId="0" borderId="0" xfId="0" applyNumberFormat="1" applyFont="1"/>
    <xf numFmtId="38" fontId="5" fillId="0" borderId="0" xfId="0" applyNumberFormat="1" applyFont="1"/>
    <xf numFmtId="38" fontId="9" fillId="0" borderId="0" xfId="0" applyNumberFormat="1" applyFont="1"/>
    <xf numFmtId="38" fontId="6" fillId="0" borderId="0" xfId="0" applyNumberFormat="1" applyFont="1"/>
    <xf numFmtId="38" fontId="8" fillId="0" borderId="0" xfId="0" applyNumberFormat="1" applyFont="1"/>
    <xf numFmtId="38" fontId="7" fillId="0" borderId="0" xfId="3" applyNumberFormat="1"/>
    <xf numFmtId="38" fontId="7" fillId="3" borderId="0" xfId="3" applyNumberFormat="1" applyFill="1"/>
    <xf numFmtId="9" fontId="0" fillId="3" borderId="0" xfId="1" applyFont="1" applyFill="1"/>
    <xf numFmtId="9" fontId="0" fillId="3" borderId="2" xfId="1" applyFont="1" applyFill="1" applyBorder="1"/>
    <xf numFmtId="9" fontId="0" fillId="4" borderId="0" xfId="1" applyFont="1" applyFill="1"/>
    <xf numFmtId="9" fontId="0" fillId="4" borderId="2" xfId="1" applyFont="1" applyFill="1" applyBorder="1"/>
    <xf numFmtId="9" fontId="0" fillId="3" borderId="0" xfId="1" applyFont="1" applyFill="1" applyAlignment="1">
      <alignment horizontal="center"/>
    </xf>
    <xf numFmtId="9" fontId="12" fillId="0" borderId="0" xfId="1" applyFont="1"/>
    <xf numFmtId="9" fontId="0" fillId="0" borderId="0" xfId="1" applyFont="1"/>
    <xf numFmtId="10" fontId="0" fillId="3" borderId="0" xfId="1" applyNumberFormat="1" applyFont="1" applyFill="1"/>
    <xf numFmtId="41" fontId="40" fillId="0" borderId="0" xfId="2" applyFont="1"/>
    <xf numFmtId="41" fontId="41" fillId="0" borderId="0" xfId="2" applyFont="1"/>
    <xf numFmtId="41" fontId="43" fillId="0" borderId="0" xfId="2" applyFont="1"/>
    <xf numFmtId="41" fontId="42" fillId="0" borderId="0" xfId="2" applyFont="1"/>
    <xf numFmtId="41" fontId="44" fillId="0" borderId="0" xfId="2" applyFont="1"/>
    <xf numFmtId="174" fontId="47" fillId="8" borderId="14" xfId="4" applyNumberFormat="1" applyFont="1" applyFill="1" applyBorder="1" applyAlignment="1" applyProtection="1">
      <alignment horizontal="right" vertical="center" wrapText="1"/>
      <protection locked="0"/>
    </xf>
    <xf numFmtId="41" fontId="45" fillId="0" borderId="0" xfId="2" applyFont="1"/>
    <xf numFmtId="41" fontId="48" fillId="0" borderId="0" xfId="2" applyFont="1"/>
    <xf numFmtId="41" fontId="49" fillId="0" borderId="0" xfId="2" applyFont="1"/>
    <xf numFmtId="41" fontId="50" fillId="0" borderId="0" xfId="2" applyFont="1"/>
    <xf numFmtId="41" fontId="18" fillId="0" borderId="0" xfId="2" applyFont="1" applyFill="1"/>
    <xf numFmtId="41" fontId="18" fillId="2" borderId="0" xfId="2" applyFont="1" applyFill="1"/>
    <xf numFmtId="41" fontId="19" fillId="2" borderId="0" xfId="2" applyFont="1" applyFill="1"/>
    <xf numFmtId="41" fontId="12" fillId="0" borderId="0" xfId="2" applyFont="1" applyFill="1"/>
    <xf numFmtId="1" fontId="0" fillId="2" borderId="0" xfId="0" applyNumberFormat="1" applyFill="1"/>
    <xf numFmtId="164" fontId="0" fillId="2" borderId="0" xfId="0" applyNumberFormat="1" applyFill="1" applyAlignment="1">
      <alignment vertical="center" wrapText="1"/>
    </xf>
    <xf numFmtId="164" fontId="0" fillId="2" borderId="0" xfId="0" applyNumberFormat="1" applyFill="1"/>
    <xf numFmtId="1" fontId="0" fillId="0" borderId="0" xfId="0" applyNumberFormat="1" applyFill="1"/>
    <xf numFmtId="164" fontId="0" fillId="0" borderId="0" xfId="0" applyNumberFormat="1" applyFill="1" applyAlignment="1">
      <alignment vertical="center" wrapText="1"/>
    </xf>
    <xf numFmtId="41" fontId="19" fillId="0" borderId="0" xfId="2" applyFont="1" applyFill="1"/>
    <xf numFmtId="164" fontId="0" fillId="0" borderId="0" xfId="0" applyNumberFormat="1" applyFill="1"/>
    <xf numFmtId="0" fontId="37" fillId="0" borderId="0" xfId="0" applyFont="1" applyFill="1"/>
    <xf numFmtId="41" fontId="51" fillId="0" borderId="0" xfId="2" applyFont="1" applyFill="1"/>
    <xf numFmtId="38" fontId="0" fillId="2" borderId="0" xfId="0" applyNumberFormat="1" applyFill="1"/>
    <xf numFmtId="38" fontId="0" fillId="0" borderId="0" xfId="0" applyNumberFormat="1" applyFill="1"/>
    <xf numFmtId="0" fontId="38" fillId="0" borderId="0" xfId="0" applyFont="1" applyFill="1"/>
    <xf numFmtId="0" fontId="2" fillId="0" borderId="0" xfId="0" applyFont="1" applyFill="1"/>
  </cellXfs>
  <cellStyles count="5">
    <cellStyle name="Comma [0]" xfId="2" builtinId="6"/>
    <cellStyle name="Hyperlink" xfId="3" builtinId="8"/>
    <cellStyle name="Normal" xfId="0" builtinId="0"/>
    <cellStyle name="Normal 2" xfId="4" xr:uid="{9D61E9A7-9DC6-4B48-9590-91736EB12BC7}"/>
    <cellStyle name="Percent" xfId="1" builtinId="5"/>
  </cellStyles>
  <dxfs count="0"/>
  <tableStyles count="0" defaultTableStyle="TableStyleMedium2" defaultPivotStyle="PivotStyleLight16"/>
  <colors>
    <mruColors>
      <color rgb="FFF79F9A"/>
      <color rgb="FFFFD5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33</xdr:row>
      <xdr:rowOff>0</xdr:rowOff>
    </xdr:from>
    <xdr:to>
      <xdr:col>12</xdr:col>
      <xdr:colOff>355600</xdr:colOff>
      <xdr:row>78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400AD-26CB-963C-0231-961F1B46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0" y="6705600"/>
          <a:ext cx="4483100" cy="92583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21</xdr:col>
      <xdr:colOff>571500</xdr:colOff>
      <xdr:row>71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95A174-B306-8C5E-928A-2C80C486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00" y="6908800"/>
          <a:ext cx="5524500" cy="76962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32</xdr:col>
      <xdr:colOff>342900</xdr:colOff>
      <xdr:row>74</xdr:row>
      <xdr:rowOff>26245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CB38E9-86C3-6D19-453A-5229166BE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86500" y="6908800"/>
          <a:ext cx="7772400" cy="8154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oks.katadata.co.id/datapublish/2024/04/29/republic-first-bank-bangkrut-asetnya-tergolong-besar-di-as" TargetMode="External"/><Relationship Id="rId2" Type="http://schemas.openxmlformats.org/officeDocument/2006/relationships/hyperlink" Target="https://www.liputan6.com/bisnis/read/5491355/daftar-7-perusahaan-as-bangkrut-sepanjang-2023-imbas-ekonomi-loyo?page=4" TargetMode="External"/><Relationship Id="rId1" Type="http://schemas.openxmlformats.org/officeDocument/2006/relationships/hyperlink" Target="https://teknologi.bisnis.com/read/20231222/266/1726326/15-startup-besar-yang-tutup-dan-phk-di-ri-2023-pegipegi-hingga-jdid" TargetMode="External"/><Relationship Id="rId5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4" Type="http://schemas.openxmlformats.org/officeDocument/2006/relationships/hyperlink" Target="https://www.youtube.com/watch?v=HT8Qib_Hau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oks.katadata.co.id/datapublish/2024/04/29/republic-first-bank-bangkrut-asetnya-tergolong-besar-di-as" TargetMode="External"/><Relationship Id="rId2" Type="http://schemas.openxmlformats.org/officeDocument/2006/relationships/hyperlink" Target="https://www.liputan6.com/bisnis/read/5491355/daftar-7-perusahaan-as-bangkrut-sepanjang-2023-imbas-ekonomi-loyo?page=4" TargetMode="External"/><Relationship Id="rId1" Type="http://schemas.openxmlformats.org/officeDocument/2006/relationships/hyperlink" Target="https://teknologi.bisnis.com/read/20231222/266/1726326/15-startup-besar-yang-tutup-dan-phk-di-ri-2023-pegipegi-hingga-jdid" TargetMode="External"/><Relationship Id="rId6" Type="http://schemas.openxmlformats.org/officeDocument/2006/relationships/hyperlink" Target="https://sahamee.com/saham/VIVA/laporan-laba-rugi" TargetMode="External"/><Relationship Id="rId5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4" Type="http://schemas.openxmlformats.org/officeDocument/2006/relationships/hyperlink" Target="https://www.youtube.com/watch?v=HT8Qib_Hau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street.com/economy/most-notable-business-bankruptcies-of-the-year" TargetMode="External"/><Relationship Id="rId3" Type="http://schemas.openxmlformats.org/officeDocument/2006/relationships/hyperlink" Target="https://www.eldoradogold.com/investors/financial-information/quarterly-results/default.aspx" TargetMode="External"/><Relationship Id="rId7" Type="http://schemas.openxmlformats.org/officeDocument/2006/relationships/hyperlink" Target="https://investors.express.com/financials-filings/quarterly-reports/default.aspx" TargetMode="External"/><Relationship Id="rId12" Type="http://schemas.openxmlformats.org/officeDocument/2006/relationships/hyperlink" Target="https://www.youtube.com/watch?v=eVIPc5u_sZw" TargetMode="External"/><Relationship Id="rId2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1" Type="http://schemas.openxmlformats.org/officeDocument/2006/relationships/hyperlink" Target="https://app.quotemedia.com/data/downloadFiling?webmasterId=101533&amp;ref=318094535&amp;type=HTML&amp;cdn=9d7fd6508ff23123dbaf1ba451f13032&amp;formType=10-K&amp;dateFiled=2024-02-23&amp;cik=0001064728&amp;symbol=0001064728&amp;companyName=" TargetMode="External"/><Relationship Id="rId6" Type="http://schemas.openxmlformats.org/officeDocument/2006/relationships/hyperlink" Target="https://investors.isunenergy.com/financial-info" TargetMode="External"/><Relationship Id="rId11" Type="http://schemas.openxmlformats.org/officeDocument/2006/relationships/hyperlink" Target="https://www.youtube.com/watch?v=cyI7PnrEkWE" TargetMode="External"/><Relationship Id="rId5" Type="http://schemas.openxmlformats.org/officeDocument/2006/relationships/hyperlink" Target="https://www.ebix.com/inv-result" TargetMode="External"/><Relationship Id="rId10" Type="http://schemas.openxmlformats.org/officeDocument/2006/relationships/hyperlink" Target="https://putusan3.mahkamahagung.go.id/search.html?q=pailit&amp;cat=35ba6ef3a483c9085cd94932ea0ada61&amp;t_put=2023" TargetMode="External"/><Relationship Id="rId4" Type="http://schemas.openxmlformats.org/officeDocument/2006/relationships/hyperlink" Target="https://intellizence.com/insights/bankruptcy/leading-companies-filing-for-bankruptcy/" TargetMode="External"/><Relationship Id="rId9" Type="http://schemas.openxmlformats.org/officeDocument/2006/relationships/hyperlink" Target="https://market.bisnis.com/read/20240225/7/1743855/daftar-emiten-pailit-di-bursa-efek-indonesia-bei-tato-khusus-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oks.katadata.co.id/datapublish/2024/04/29/republic-first-bank-bangkrut-asetnya-tergolong-besar-di-as" TargetMode="External"/><Relationship Id="rId2" Type="http://schemas.openxmlformats.org/officeDocument/2006/relationships/hyperlink" Target="https://www.liputan6.com/bisnis/read/5491355/daftar-7-perusahaan-as-bangkrut-sepanjang-2023-imbas-ekonomi-loyo?page=4" TargetMode="External"/><Relationship Id="rId1" Type="http://schemas.openxmlformats.org/officeDocument/2006/relationships/hyperlink" Target="https://teknologi.bisnis.com/read/20231222/266/1726326/15-startup-besar-yang-tutup-dan-phk-di-ri-2023-pegipegi-hingga-jdid" TargetMode="External"/><Relationship Id="rId6" Type="http://schemas.openxmlformats.org/officeDocument/2006/relationships/hyperlink" Target="https://sahamee.com/saham/VIVA/laporan-laba-rugi" TargetMode="External"/><Relationship Id="rId5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4" Type="http://schemas.openxmlformats.org/officeDocument/2006/relationships/hyperlink" Target="https://www.youtube.com/watch?v=HT8Qib_Hauc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boks.katadata.co.id/datapublish/2024/04/29/republic-first-bank-bangkrut-asetnya-tergolong-besar-di-as" TargetMode="External"/><Relationship Id="rId2" Type="http://schemas.openxmlformats.org/officeDocument/2006/relationships/hyperlink" Target="https://www.liputan6.com/bisnis/read/5491355/daftar-7-perusahaan-as-bangkrut-sepanjang-2023-imbas-ekonomi-loyo?page=4" TargetMode="External"/><Relationship Id="rId1" Type="http://schemas.openxmlformats.org/officeDocument/2006/relationships/hyperlink" Target="https://teknologi.bisnis.com/read/20231222/266/1726326/15-startup-besar-yang-tutup-dan-phk-di-ri-2023-pegipegi-hingga-jdid" TargetMode="External"/><Relationship Id="rId5" Type="http://schemas.openxmlformats.org/officeDocument/2006/relationships/hyperlink" Target="https://www.spglobal.com/marketintelligence/en/news-insights/latest-news-headlines/us-bankruptcies-hit-13-year-peak-in-2023-50-new-filings-in-december-79967180" TargetMode="External"/><Relationship Id="rId4" Type="http://schemas.openxmlformats.org/officeDocument/2006/relationships/hyperlink" Target="https://www.youtube.com/watch?v=HT8Qib_Ha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25EB-06B5-2D4E-BE6C-E5BE9D4B62DD}">
  <dimension ref="A1:X254"/>
  <sheetViews>
    <sheetView showGridLines="0" zoomScale="110" zoomScaleNormal="110" workbookViewId="0">
      <pane xSplit="2" ySplit="3" topLeftCell="C215" activePane="bottomRight" state="frozen"/>
      <selection pane="topRight" activeCell="C1" sqref="C1"/>
      <selection pane="bottomLeft" activeCell="A4" sqref="A4"/>
      <selection pane="bottomRight" activeCell="D236" sqref="D236"/>
    </sheetView>
  </sheetViews>
  <sheetFormatPr baseColWidth="10" defaultRowHeight="16"/>
  <cols>
    <col min="1" max="1" width="11" style="179" bestFit="1" customWidth="1"/>
    <col min="2" max="2" width="34.6640625" style="179" bestFit="1" customWidth="1"/>
    <col min="3" max="3" width="17.6640625" style="179" bestFit="1" customWidth="1"/>
    <col min="4" max="5" width="18.6640625" style="179" bestFit="1" customWidth="1"/>
    <col min="6" max="6" width="22" style="179" customWidth="1"/>
    <col min="7" max="7" width="18.6640625" style="184" bestFit="1" customWidth="1"/>
    <col min="8" max="10" width="18.6640625" style="179" bestFit="1" customWidth="1"/>
    <col min="11" max="11" width="18.6640625" style="184" bestFit="1" customWidth="1"/>
    <col min="12" max="12" width="18.83203125" style="179" customWidth="1"/>
    <col min="13" max="14" width="18.33203125" style="179" bestFit="1" customWidth="1"/>
    <col min="15" max="15" width="18.6640625" style="184" bestFit="1" customWidth="1"/>
    <col min="16" max="18" width="18.6640625" style="179" bestFit="1" customWidth="1"/>
    <col min="19" max="19" width="18.6640625" style="184" bestFit="1" customWidth="1"/>
    <col min="20" max="23" width="18.6640625" style="179" bestFit="1" customWidth="1"/>
    <col min="24" max="24" width="10.83203125" style="226"/>
    <col min="25" max="16384" width="10.83203125" style="179"/>
  </cols>
  <sheetData>
    <row r="1" spans="1:24" s="177" customFormat="1">
      <c r="A1" s="177" t="s">
        <v>0</v>
      </c>
      <c r="B1" s="177" t="s">
        <v>1</v>
      </c>
      <c r="C1" s="178">
        <v>2019</v>
      </c>
      <c r="D1" s="178"/>
      <c r="E1" s="178"/>
      <c r="F1" s="178"/>
      <c r="G1" s="178">
        <v>2020</v>
      </c>
      <c r="H1" s="178"/>
      <c r="I1" s="178"/>
      <c r="J1" s="178"/>
      <c r="K1" s="178">
        <v>2021</v>
      </c>
      <c r="L1" s="178"/>
      <c r="M1" s="178"/>
      <c r="N1" s="178"/>
      <c r="O1" s="178">
        <v>2022</v>
      </c>
      <c r="P1" s="178"/>
      <c r="Q1" s="178"/>
      <c r="R1" s="178"/>
      <c r="S1" s="178">
        <v>2023</v>
      </c>
      <c r="T1" s="178"/>
      <c r="U1" s="178"/>
      <c r="V1" s="178"/>
      <c r="X1" s="225"/>
    </row>
    <row r="2" spans="1:24">
      <c r="C2" s="180"/>
      <c r="D2" s="180"/>
      <c r="E2" s="181"/>
      <c r="F2" s="181"/>
      <c r="G2" s="182"/>
      <c r="H2" s="181"/>
      <c r="I2" s="181"/>
      <c r="J2" s="181"/>
      <c r="K2" s="182"/>
      <c r="L2" s="181"/>
      <c r="M2" s="181"/>
      <c r="N2" s="181"/>
      <c r="O2" s="182"/>
      <c r="P2" s="181"/>
      <c r="Q2" s="181"/>
      <c r="R2" s="181"/>
      <c r="S2" s="182"/>
      <c r="T2" s="181"/>
      <c r="U2" s="181"/>
      <c r="V2" s="181"/>
    </row>
    <row r="3" spans="1:24">
      <c r="B3" s="183"/>
      <c r="C3" s="183"/>
      <c r="D3" s="179" t="s">
        <v>5</v>
      </c>
      <c r="E3" s="179" t="s">
        <v>6</v>
      </c>
      <c r="F3" s="179" t="s">
        <v>7</v>
      </c>
      <c r="H3" s="179" t="s">
        <v>5</v>
      </c>
      <c r="I3" s="179" t="s">
        <v>6</v>
      </c>
      <c r="J3" s="179" t="s">
        <v>7</v>
      </c>
      <c r="K3" s="184" t="s">
        <v>8</v>
      </c>
      <c r="L3" s="179" t="s">
        <v>5</v>
      </c>
      <c r="M3" s="179" t="s">
        <v>6</v>
      </c>
      <c r="N3" s="179" t="s">
        <v>7</v>
      </c>
      <c r="O3" s="184" t="s">
        <v>8</v>
      </c>
      <c r="P3" s="179" t="s">
        <v>5</v>
      </c>
      <c r="Q3" s="179" t="s">
        <v>6</v>
      </c>
      <c r="R3" s="179" t="s">
        <v>7</v>
      </c>
      <c r="S3" s="184" t="s">
        <v>8</v>
      </c>
      <c r="T3" s="179" t="s">
        <v>5</v>
      </c>
      <c r="U3" s="179" t="s">
        <v>6</v>
      </c>
      <c r="V3" s="179" t="s">
        <v>7</v>
      </c>
      <c r="W3" s="179" t="s">
        <v>8</v>
      </c>
    </row>
    <row r="4" spans="1:24" ht="17">
      <c r="A4" s="179">
        <v>1</v>
      </c>
      <c r="B4" s="185" t="s">
        <v>9</v>
      </c>
      <c r="C4" s="185"/>
      <c r="E4" s="186"/>
      <c r="F4" s="186"/>
      <c r="I4" s="186"/>
      <c r="J4" s="186"/>
      <c r="M4" s="186"/>
      <c r="N4" s="186"/>
      <c r="Q4" s="186"/>
      <c r="R4" s="186"/>
      <c r="U4" s="186"/>
      <c r="V4" s="186"/>
      <c r="W4" s="184"/>
    </row>
    <row r="5" spans="1:24">
      <c r="B5" s="179" t="s">
        <v>58</v>
      </c>
      <c r="D5" s="187">
        <v>7394033</v>
      </c>
      <c r="E5" s="187">
        <v>7576245</v>
      </c>
      <c r="F5" s="187">
        <v>6824861</v>
      </c>
      <c r="G5" s="188">
        <f>5220693</f>
        <v>5220693</v>
      </c>
      <c r="H5" s="189">
        <f>5905036</f>
        <v>5905036</v>
      </c>
      <c r="I5" s="189">
        <f>7705537</f>
        <v>7705537</v>
      </c>
      <c r="J5" s="189">
        <f>7609533</f>
        <v>7609533</v>
      </c>
      <c r="K5" s="190">
        <f>6391894</f>
        <v>6391894</v>
      </c>
      <c r="L5" s="189">
        <v>6603452</v>
      </c>
      <c r="M5" s="189">
        <v>7213939</v>
      </c>
      <c r="N5" s="189">
        <v>8450462</v>
      </c>
      <c r="O5" s="190">
        <v>14198826</v>
      </c>
      <c r="P5" s="189">
        <v>14648357</v>
      </c>
      <c r="Q5" s="189">
        <v>10810184</v>
      </c>
      <c r="R5" s="189">
        <v>10061654</v>
      </c>
      <c r="S5" s="190">
        <v>12622267</v>
      </c>
      <c r="T5" s="189">
        <v>15781335</v>
      </c>
      <c r="U5" s="189">
        <v>18169783</v>
      </c>
      <c r="V5" s="189">
        <v>18647063</v>
      </c>
      <c r="W5" s="189">
        <v>19884724</v>
      </c>
    </row>
    <row r="6" spans="1:24">
      <c r="B6" s="179" t="s">
        <v>59</v>
      </c>
      <c r="D6" s="187">
        <v>12157359</v>
      </c>
      <c r="E6" s="187">
        <v>12551541</v>
      </c>
      <c r="F6" s="187">
        <v>12458636</v>
      </c>
      <c r="G6" s="188">
        <f>9568042</f>
        <v>9568042</v>
      </c>
      <c r="H6" s="189">
        <f>9454574</f>
        <v>9454574</v>
      </c>
      <c r="I6" s="189">
        <f>10377524</f>
        <v>10377524</v>
      </c>
      <c r="J6" s="189">
        <f>9577578</f>
        <v>9577578</v>
      </c>
      <c r="K6" s="190">
        <f>12633148</f>
        <v>12633148</v>
      </c>
      <c r="L6" s="189">
        <v>11549695</v>
      </c>
      <c r="M6" s="189">
        <v>9534035</v>
      </c>
      <c r="N6" s="189">
        <v>9775780</v>
      </c>
      <c r="O6" s="190">
        <v>10709803</v>
      </c>
      <c r="P6" s="189">
        <v>9811686</v>
      </c>
      <c r="Q6" s="189">
        <v>9612759</v>
      </c>
      <c r="R6" s="189">
        <v>8663837</v>
      </c>
      <c r="S6" s="190">
        <v>10971014</v>
      </c>
      <c r="T6" s="189">
        <v>11568010</v>
      </c>
      <c r="U6" s="189">
        <v>11120412</v>
      </c>
      <c r="V6" s="189">
        <v>8675484</v>
      </c>
      <c r="W6" s="189">
        <v>7900415</v>
      </c>
    </row>
    <row r="7" spans="1:24" ht="17">
      <c r="B7" s="191" t="s">
        <v>57</v>
      </c>
      <c r="C7" s="191"/>
      <c r="D7" s="192">
        <v>598036</v>
      </c>
      <c r="E7" s="192">
        <v>99793</v>
      </c>
      <c r="F7" s="192">
        <v>-199596</v>
      </c>
      <c r="G7" s="192">
        <v>-1370636</v>
      </c>
      <c r="H7" s="192">
        <v>571164</v>
      </c>
      <c r="I7" s="192">
        <v>1793333</v>
      </c>
      <c r="J7" s="192">
        <v>-1411326</v>
      </c>
      <c r="K7" s="192">
        <v>-1770315</v>
      </c>
      <c r="L7" s="192">
        <v>1327258</v>
      </c>
      <c r="M7" s="192">
        <v>1821623</v>
      </c>
      <c r="N7" s="192">
        <v>1370116</v>
      </c>
      <c r="O7" s="192">
        <v>1376390</v>
      </c>
      <c r="P7" s="192">
        <v>1684468</v>
      </c>
      <c r="Q7" s="192">
        <v>625318</v>
      </c>
      <c r="R7" s="192">
        <v>3381354</v>
      </c>
      <c r="S7" s="192">
        <v>3347024</v>
      </c>
      <c r="T7" s="192">
        <v>4288586</v>
      </c>
      <c r="U7" s="192">
        <v>3776721</v>
      </c>
      <c r="V7" s="192">
        <v>4664569</v>
      </c>
      <c r="W7" s="192">
        <v>2887000</v>
      </c>
    </row>
    <row r="8" spans="1:24">
      <c r="B8" s="179" t="s">
        <v>56</v>
      </c>
      <c r="D8" s="187">
        <v>72016425</v>
      </c>
      <c r="E8" s="187">
        <v>71660572</v>
      </c>
      <c r="F8" s="187">
        <v>70893995</v>
      </c>
      <c r="G8" s="188">
        <f>67412629</f>
        <v>67412629</v>
      </c>
      <c r="H8" s="189">
        <f>67779538</f>
        <v>67779538</v>
      </c>
      <c r="I8" s="189">
        <f>70724605</f>
        <v>70724605</v>
      </c>
      <c r="J8" s="189">
        <f>68196735</f>
        <v>68196735</v>
      </c>
      <c r="K8" s="190">
        <f>66073093</f>
        <v>66073093</v>
      </c>
      <c r="L8" s="189">
        <v>66263941</v>
      </c>
      <c r="M8" s="189">
        <v>66797389</v>
      </c>
      <c r="N8" s="189">
        <v>68469278</v>
      </c>
      <c r="O8" s="190">
        <v>70328736</v>
      </c>
      <c r="P8" s="189">
        <v>70687485</v>
      </c>
      <c r="Q8" s="189">
        <v>70784291</v>
      </c>
      <c r="R8" s="189">
        <v>72881217</v>
      </c>
      <c r="S8" s="190">
        <v>76589160</v>
      </c>
      <c r="T8" s="189">
        <v>81990985</v>
      </c>
      <c r="U8" s="189">
        <v>85161117</v>
      </c>
      <c r="V8" s="189">
        <v>86969697</v>
      </c>
      <c r="W8" s="189">
        <v>73115506</v>
      </c>
    </row>
    <row r="9" spans="1:24">
      <c r="B9" s="179" t="s">
        <v>55</v>
      </c>
      <c r="D9" s="187">
        <v>42450553</v>
      </c>
      <c r="E9" s="187">
        <v>41994907</v>
      </c>
      <c r="F9" s="187">
        <v>41427926</v>
      </c>
      <c r="G9" s="188">
        <f>36760187</f>
        <v>36760187</v>
      </c>
      <c r="H9" s="189">
        <f>36645619</f>
        <v>36645619</v>
      </c>
      <c r="I9" s="189">
        <f>37706792</f>
        <v>37706792</v>
      </c>
      <c r="J9" s="189">
        <f>36629403</f>
        <v>36629403</v>
      </c>
      <c r="K9" s="190">
        <f>38158141</f>
        <v>38158141</v>
      </c>
      <c r="L9" s="189">
        <v>37057634</v>
      </c>
      <c r="M9" s="189">
        <v>35764550</v>
      </c>
      <c r="N9" s="189">
        <v>36046363</v>
      </c>
      <c r="O9" s="190">
        <v>38257687</v>
      </c>
      <c r="P9" s="189">
        <v>36935181</v>
      </c>
      <c r="Q9" s="189">
        <v>36440831</v>
      </c>
      <c r="R9" s="189">
        <v>35195165</v>
      </c>
      <c r="S9" s="190">
        <v>26077107</v>
      </c>
      <c r="T9" s="189">
        <v>38071871</v>
      </c>
      <c r="U9" s="189">
        <v>37468367</v>
      </c>
      <c r="V9" s="189">
        <v>34728301</v>
      </c>
      <c r="W9" s="189">
        <v>35379853</v>
      </c>
    </row>
    <row r="10" spans="1:24" ht="17">
      <c r="A10" s="179">
        <v>2</v>
      </c>
      <c r="B10" s="183" t="s">
        <v>10</v>
      </c>
      <c r="C10" s="183"/>
      <c r="G10" s="179"/>
      <c r="K10" s="179"/>
      <c r="O10" s="179"/>
      <c r="S10" s="179"/>
    </row>
    <row r="11" spans="1:24">
      <c r="B11" s="179" t="s">
        <v>58</v>
      </c>
      <c r="D11" s="187">
        <v>150288888888</v>
      </c>
      <c r="E11" s="187">
        <v>139241335973</v>
      </c>
      <c r="F11" s="187">
        <v>127211929908</v>
      </c>
      <c r="G11" s="188">
        <v>134012941477</v>
      </c>
      <c r="H11" s="189">
        <v>132603878404</v>
      </c>
      <c r="I11" s="189">
        <v>149232282465</v>
      </c>
      <c r="J11" s="189">
        <v>139196894849</v>
      </c>
      <c r="K11" s="190">
        <v>146335988563</v>
      </c>
      <c r="L11" s="189">
        <v>166543657393</v>
      </c>
      <c r="M11" s="189">
        <v>164733444837</v>
      </c>
      <c r="N11" s="189">
        <v>168032963954</v>
      </c>
      <c r="O11" s="190">
        <v>99707098594</v>
      </c>
      <c r="P11" s="189">
        <v>110195584449</v>
      </c>
      <c r="Q11" s="189">
        <v>133460190405</v>
      </c>
      <c r="R11" s="189">
        <v>121859421872</v>
      </c>
      <c r="S11" s="190">
        <v>145600441681</v>
      </c>
      <c r="T11" s="189">
        <v>158714167819</v>
      </c>
      <c r="U11" s="189">
        <v>126914012579</v>
      </c>
      <c r="V11" s="189">
        <v>158168662831</v>
      </c>
      <c r="W11" s="189">
        <v>161475800127</v>
      </c>
    </row>
    <row r="12" spans="1:24">
      <c r="B12" s="179" t="s">
        <v>59</v>
      </c>
      <c r="D12" s="187">
        <v>26622961894</v>
      </c>
      <c r="E12" s="187">
        <v>37268204211</v>
      </c>
      <c r="F12" s="187">
        <v>25503714450</v>
      </c>
      <c r="G12" s="188">
        <v>23179545509</v>
      </c>
      <c r="H12" s="189">
        <v>22163453889</v>
      </c>
      <c r="I12" s="189">
        <v>29713775443</v>
      </c>
      <c r="J12" s="189">
        <v>17444601027</v>
      </c>
      <c r="K12" s="190">
        <v>21765155172</v>
      </c>
      <c r="L12" s="189">
        <v>22274741440</v>
      </c>
      <c r="M12" s="189">
        <v>20746686443</v>
      </c>
      <c r="N12" s="189">
        <v>23135527914</v>
      </c>
      <c r="O12" s="190">
        <v>25913588162</v>
      </c>
      <c r="P12" s="189">
        <v>33880101087</v>
      </c>
      <c r="Q12" s="189">
        <v>57969468788</v>
      </c>
      <c r="R12" s="189">
        <v>67067109748</v>
      </c>
      <c r="S12" s="190">
        <v>35759386027</v>
      </c>
      <c r="T12" s="189">
        <v>57771097984</v>
      </c>
      <c r="U12" s="189">
        <v>50197944740</v>
      </c>
      <c r="V12" s="189">
        <v>50064484352</v>
      </c>
      <c r="W12" s="189">
        <v>60577541290</v>
      </c>
    </row>
    <row r="13" spans="1:24" ht="17">
      <c r="B13" s="191" t="s">
        <v>57</v>
      </c>
      <c r="C13" s="191"/>
      <c r="D13" s="192">
        <v>10437182377</v>
      </c>
      <c r="E13" s="192">
        <v>11726300108</v>
      </c>
      <c r="F13" s="192">
        <v>10455213980</v>
      </c>
      <c r="G13" s="192">
        <v>19725455502</v>
      </c>
      <c r="H13" s="192">
        <v>9948144456</v>
      </c>
      <c r="I13" s="192">
        <v>7947849199</v>
      </c>
      <c r="J13" s="192">
        <v>11483963678</v>
      </c>
      <c r="K13" s="192">
        <v>14564104205</v>
      </c>
      <c r="L13" s="192">
        <v>3874161226</v>
      </c>
      <c r="M13" s="192">
        <v>13123859348</v>
      </c>
      <c r="N13" s="192">
        <v>18004509799</v>
      </c>
      <c r="O13" s="192">
        <v>16404707296</v>
      </c>
      <c r="P13" s="192">
        <v>18018440542</v>
      </c>
      <c r="Q13" s="192">
        <v>21063265738</v>
      </c>
      <c r="R13" s="192">
        <v>36495215115</v>
      </c>
      <c r="S13" s="192">
        <v>50814964388</v>
      </c>
      <c r="T13" s="193">
        <v>52948808725</v>
      </c>
      <c r="U13" s="192">
        <v>114620997376</v>
      </c>
      <c r="V13" s="192">
        <v>178086193801</v>
      </c>
      <c r="W13" s="192">
        <v>228985269425</v>
      </c>
    </row>
    <row r="14" spans="1:24">
      <c r="B14" s="179" t="s">
        <v>56</v>
      </c>
      <c r="D14" s="187">
        <v>498143591117</v>
      </c>
      <c r="E14" s="187">
        <v>511928847645</v>
      </c>
      <c r="F14" s="187">
        <v>511688557850</v>
      </c>
      <c r="G14" s="188">
        <v>527467886738</v>
      </c>
      <c r="H14" s="189">
        <v>549795872938</v>
      </c>
      <c r="I14" s="189">
        <v>556314925095</v>
      </c>
      <c r="J14" s="189">
        <v>552276812982</v>
      </c>
      <c r="K14" s="190">
        <v>568048326214</v>
      </c>
      <c r="L14" s="189">
        <v>569527040442</v>
      </c>
      <c r="M14" s="189">
        <v>555902188679</v>
      </c>
      <c r="N14" s="189">
        <v>561837173307</v>
      </c>
      <c r="O14" s="190">
        <v>552781459611</v>
      </c>
      <c r="P14" s="189">
        <v>575994657437</v>
      </c>
      <c r="Q14" s="189">
        <v>594788535235</v>
      </c>
      <c r="R14" s="189">
        <v>660109635668</v>
      </c>
      <c r="S14" s="190">
        <v>653425820330</v>
      </c>
      <c r="T14" s="189">
        <v>739903246826</v>
      </c>
      <c r="U14" s="189">
        <v>743848008940</v>
      </c>
      <c r="V14" s="189">
        <v>804389026312</v>
      </c>
      <c r="W14" s="189">
        <v>829253927925</v>
      </c>
    </row>
    <row r="15" spans="1:24">
      <c r="B15" s="179" t="s">
        <v>55</v>
      </c>
      <c r="D15" s="187">
        <v>64358291233</v>
      </c>
      <c r="E15" s="187">
        <v>81729021186</v>
      </c>
      <c r="F15" s="187">
        <v>71070290941</v>
      </c>
      <c r="G15" s="188">
        <v>65436471797</v>
      </c>
      <c r="H15" s="189">
        <v>77851433555</v>
      </c>
      <c r="I15" s="189">
        <v>84682756526</v>
      </c>
      <c r="J15" s="189">
        <v>69195800749</v>
      </c>
      <c r="K15" s="190">
        <v>69298714658</v>
      </c>
      <c r="L15" s="189">
        <v>66940043500</v>
      </c>
      <c r="M15" s="189">
        <v>63728108229</v>
      </c>
      <c r="N15" s="189">
        <v>63445358898</v>
      </c>
      <c r="O15" s="190">
        <v>60858708144</v>
      </c>
      <c r="P15" s="189">
        <v>66105397300</v>
      </c>
      <c r="Q15" s="189">
        <v>87387941234</v>
      </c>
      <c r="R15" s="189">
        <v>116265758424</v>
      </c>
      <c r="S15" s="190">
        <v>69633567723</v>
      </c>
      <c r="T15" s="189">
        <v>103222964592</v>
      </c>
      <c r="U15" s="189">
        <v>92556317153</v>
      </c>
      <c r="V15" s="189">
        <v>89692917197</v>
      </c>
      <c r="W15" s="189">
        <v>98996443759</v>
      </c>
    </row>
    <row r="16" spans="1:24" ht="17">
      <c r="A16" s="179">
        <v>3</v>
      </c>
      <c r="B16" s="183" t="s">
        <v>11</v>
      </c>
      <c r="C16" s="183"/>
      <c r="G16" s="179"/>
      <c r="K16" s="179"/>
      <c r="O16" s="179"/>
      <c r="S16" s="179"/>
    </row>
    <row r="17" spans="1:23">
      <c r="B17" s="179" t="s">
        <v>58</v>
      </c>
      <c r="D17" s="189">
        <v>148724982545</v>
      </c>
      <c r="E17" s="189">
        <v>148724982545</v>
      </c>
      <c r="F17" s="189">
        <v>148724982545</v>
      </c>
      <c r="G17" s="190">
        <v>148724982545</v>
      </c>
      <c r="H17" s="189">
        <v>113442715940</v>
      </c>
      <c r="I17" s="189">
        <v>106315358790</v>
      </c>
      <c r="J17" s="189">
        <v>102118645526</v>
      </c>
      <c r="K17" s="190">
        <v>165109516135</v>
      </c>
      <c r="L17" s="189">
        <v>176139588483</v>
      </c>
      <c r="M17" s="189">
        <v>162665772379</v>
      </c>
      <c r="N17" s="189">
        <v>144280230148</v>
      </c>
      <c r="O17" s="190">
        <v>150043015990</v>
      </c>
      <c r="P17" s="189">
        <v>159588309900</v>
      </c>
      <c r="Q17" s="189">
        <v>210457556604</v>
      </c>
      <c r="R17" s="189">
        <v>203011791427</v>
      </c>
      <c r="S17" s="190">
        <v>178893247612</v>
      </c>
      <c r="T17" s="189">
        <v>148673659263</v>
      </c>
      <c r="U17" s="189">
        <v>124637566148</v>
      </c>
      <c r="V17" s="189">
        <v>122013326459</v>
      </c>
      <c r="W17" s="189">
        <v>132678865175</v>
      </c>
    </row>
    <row r="18" spans="1:23">
      <c r="B18" s="179" t="s">
        <v>59</v>
      </c>
      <c r="D18" s="189">
        <v>99631561298</v>
      </c>
      <c r="E18" s="189">
        <v>99631561298</v>
      </c>
      <c r="F18" s="189">
        <v>99631561298</v>
      </c>
      <c r="G18" s="190">
        <v>99631561298</v>
      </c>
      <c r="H18" s="189">
        <v>79269416527</v>
      </c>
      <c r="I18" s="189">
        <v>68680855252</v>
      </c>
      <c r="J18" s="189">
        <v>58960975779</v>
      </c>
      <c r="K18" s="190">
        <v>114959432645</v>
      </c>
      <c r="L18" s="189">
        <v>102047179170</v>
      </c>
      <c r="M18" s="189">
        <v>74362717054</v>
      </c>
      <c r="N18" s="189">
        <v>71582094293</v>
      </c>
      <c r="O18" s="190">
        <v>83977625835</v>
      </c>
      <c r="P18" s="189">
        <v>91200068815</v>
      </c>
      <c r="Q18" s="189">
        <v>103037393039</v>
      </c>
      <c r="R18" s="189">
        <v>98097289592</v>
      </c>
      <c r="S18" s="190">
        <v>118788125755</v>
      </c>
      <c r="T18" s="189">
        <v>102636220751</v>
      </c>
      <c r="U18" s="189">
        <v>73188891866</v>
      </c>
      <c r="V18" s="189">
        <v>68572478785</v>
      </c>
      <c r="W18" s="189">
        <v>82521507639</v>
      </c>
    </row>
    <row r="19" spans="1:23" ht="17">
      <c r="B19" s="191" t="s">
        <v>57</v>
      </c>
      <c r="C19" s="191"/>
      <c r="D19" s="189">
        <v>8707924129</v>
      </c>
      <c r="E19" s="189">
        <v>-2183552138</v>
      </c>
      <c r="F19" s="192">
        <v>13782002052</v>
      </c>
      <c r="G19" s="194">
        <v>-16129136394</v>
      </c>
      <c r="H19" s="189">
        <v>-15293248339</v>
      </c>
      <c r="I19" s="192">
        <v>-3932618829</v>
      </c>
      <c r="J19" s="192">
        <v>-3290676444</v>
      </c>
      <c r="K19" s="192">
        <v>25552722082</v>
      </c>
      <c r="L19" s="192">
        <v>16877860432</v>
      </c>
      <c r="M19" s="192">
        <v>8088541896</v>
      </c>
      <c r="N19" s="192">
        <v>-1166997446</v>
      </c>
      <c r="O19" s="192">
        <v>427508626</v>
      </c>
      <c r="P19" s="192">
        <v>11041518857</v>
      </c>
      <c r="Q19" s="192">
        <v>32651068249</v>
      </c>
      <c r="R19" s="192">
        <v>15201874401</v>
      </c>
      <c r="S19" s="192">
        <v>-11925628977</v>
      </c>
      <c r="T19" s="192">
        <v>793366946</v>
      </c>
      <c r="U19" s="192">
        <v>-3877489012</v>
      </c>
      <c r="V19" s="192">
        <v>674686088</v>
      </c>
      <c r="W19" s="192">
        <v>14179111436</v>
      </c>
    </row>
    <row r="20" spans="1:23">
      <c r="B20" s="179" t="s">
        <v>56</v>
      </c>
      <c r="D20" s="189">
        <v>285177567739</v>
      </c>
      <c r="E20" s="189">
        <v>285177567739</v>
      </c>
      <c r="F20" s="189">
        <v>285177567739</v>
      </c>
      <c r="G20" s="190">
        <v>285177567739</v>
      </c>
      <c r="H20" s="189">
        <v>245499531995</v>
      </c>
      <c r="I20" s="189">
        <v>233220155229</v>
      </c>
      <c r="J20" s="189">
        <v>223785992768</v>
      </c>
      <c r="K20" s="190">
        <v>298261244290</v>
      </c>
      <c r="L20" s="189">
        <v>303334352289</v>
      </c>
      <c r="M20" s="189">
        <v>285345881191</v>
      </c>
      <c r="N20" s="189">
        <v>269842337415</v>
      </c>
      <c r="O20" s="190">
        <v>275990708661</v>
      </c>
      <c r="P20" s="189">
        <v>295517488564</v>
      </c>
      <c r="Q20" s="189">
        <v>381789880612</v>
      </c>
      <c r="R20" s="189">
        <v>375864337747</v>
      </c>
      <c r="S20" s="190">
        <v>366151031018</v>
      </c>
      <c r="T20" s="189">
        <v>352103992611</v>
      </c>
      <c r="U20" s="189">
        <v>331450807474</v>
      </c>
      <c r="V20" s="189">
        <v>320323090986</v>
      </c>
      <c r="W20" s="189">
        <v>321354170526</v>
      </c>
    </row>
    <row r="21" spans="1:23">
      <c r="B21" s="179" t="s">
        <v>55</v>
      </c>
      <c r="D21" s="189">
        <v>171206489746</v>
      </c>
      <c r="E21" s="189">
        <v>171206489746</v>
      </c>
      <c r="F21" s="189">
        <v>171206489746</v>
      </c>
      <c r="G21" s="190">
        <v>171206489746</v>
      </c>
      <c r="H21" s="189">
        <v>146750453271</v>
      </c>
      <c r="I21" s="189">
        <v>138475424493</v>
      </c>
      <c r="J21" s="189">
        <v>132337928045</v>
      </c>
      <c r="K21" s="190">
        <v>191770130645</v>
      </c>
      <c r="L21" s="189">
        <v>179878081661</v>
      </c>
      <c r="M21" s="189">
        <v>153858735886</v>
      </c>
      <c r="N21" s="189">
        <v>139648882408</v>
      </c>
      <c r="O21" s="190">
        <v>145261996537</v>
      </c>
      <c r="P21" s="189">
        <v>153527090464</v>
      </c>
      <c r="Q21" s="189">
        <v>207194006635</v>
      </c>
      <c r="R21" s="189">
        <v>186076959212</v>
      </c>
      <c r="S21" s="190">
        <v>188462418370</v>
      </c>
      <c r="T21" s="189">
        <v>173668503066</v>
      </c>
      <c r="U21" s="189">
        <v>158852662832</v>
      </c>
      <c r="V21" s="189">
        <v>142146845996</v>
      </c>
      <c r="W21" s="189">
        <v>132883054676</v>
      </c>
    </row>
    <row r="22" spans="1:23" ht="17">
      <c r="A22" s="179">
        <v>4</v>
      </c>
      <c r="B22" s="183" t="s">
        <v>12</v>
      </c>
      <c r="C22" s="183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6"/>
    </row>
    <row r="23" spans="1:23">
      <c r="B23" s="179" t="s">
        <v>58</v>
      </c>
      <c r="D23" s="189">
        <v>1103855</v>
      </c>
      <c r="E23" s="189">
        <v>929302</v>
      </c>
      <c r="F23" s="189">
        <v>1116473</v>
      </c>
      <c r="G23" s="190">
        <v>938785</v>
      </c>
      <c r="H23" s="189">
        <v>1036739</v>
      </c>
      <c r="I23" s="189">
        <v>1125019</v>
      </c>
      <c r="J23" s="189">
        <v>1235998</v>
      </c>
      <c r="K23" s="190">
        <v>1241604</v>
      </c>
      <c r="L23" s="189">
        <v>1384237</v>
      </c>
      <c r="M23" s="189">
        <v>1291980</v>
      </c>
      <c r="N23" s="189">
        <v>1219496</v>
      </c>
      <c r="O23" s="190">
        <v>1366505</v>
      </c>
      <c r="P23" s="189">
        <v>1534339</v>
      </c>
      <c r="Q23" s="189">
        <v>1523200</v>
      </c>
      <c r="R23" s="189">
        <v>1416665</v>
      </c>
      <c r="S23" s="190">
        <v>1379949</v>
      </c>
      <c r="T23" s="189">
        <v>1321494</v>
      </c>
      <c r="U23" s="189">
        <v>1493331</v>
      </c>
      <c r="V23" s="189">
        <v>1404714</v>
      </c>
      <c r="W23" s="189">
        <v>1497037</v>
      </c>
    </row>
    <row r="24" spans="1:23">
      <c r="B24" s="179" t="s">
        <v>59</v>
      </c>
      <c r="D24" s="189">
        <v>784585</v>
      </c>
      <c r="E24" s="189">
        <v>718715</v>
      </c>
      <c r="F24" s="189">
        <v>890979</v>
      </c>
      <c r="G24" s="190">
        <v>753515</v>
      </c>
      <c r="H24" s="189">
        <v>906634</v>
      </c>
      <c r="I24" s="189">
        <v>627935</v>
      </c>
      <c r="J24" s="189">
        <v>624800</v>
      </c>
      <c r="K24" s="190">
        <v>639864</v>
      </c>
      <c r="L24" s="189">
        <v>700828</v>
      </c>
      <c r="M24" s="189">
        <v>608306</v>
      </c>
      <c r="N24" s="189">
        <v>588895</v>
      </c>
      <c r="O24" s="190">
        <v>565041</v>
      </c>
      <c r="P24" s="189">
        <v>58743</v>
      </c>
      <c r="Q24" s="189">
        <v>764832</v>
      </c>
      <c r="R24" s="189">
        <v>665883</v>
      </c>
      <c r="S24" s="190">
        <v>908381</v>
      </c>
      <c r="T24" s="189">
        <v>932656</v>
      </c>
      <c r="U24" s="189">
        <v>1138136</v>
      </c>
      <c r="V24" s="189">
        <v>967191</v>
      </c>
      <c r="W24" s="189">
        <v>875701</v>
      </c>
    </row>
    <row r="25" spans="1:23" ht="17">
      <c r="B25" s="191" t="s">
        <v>57</v>
      </c>
      <c r="C25" s="191"/>
      <c r="D25" s="192">
        <v>89306</v>
      </c>
      <c r="E25" s="195">
        <v>69149</v>
      </c>
      <c r="F25" s="192">
        <v>71302</v>
      </c>
      <c r="G25" s="192">
        <v>85865</v>
      </c>
      <c r="H25" s="192">
        <v>13780</v>
      </c>
      <c r="I25" s="195">
        <v>-108745</v>
      </c>
      <c r="J25" s="192">
        <v>-62984</v>
      </c>
      <c r="K25" s="192">
        <v>-5234</v>
      </c>
      <c r="L25" s="192">
        <v>-28321</v>
      </c>
      <c r="M25" s="192">
        <v>-1739</v>
      </c>
      <c r="N25" s="192">
        <v>-36265</v>
      </c>
      <c r="O25" s="192">
        <v>75045</v>
      </c>
      <c r="P25" s="192">
        <v>47687</v>
      </c>
      <c r="Q25" s="192">
        <v>100287</v>
      </c>
      <c r="R25" s="192">
        <v>116184</v>
      </c>
      <c r="S25" s="192">
        <v>99869</v>
      </c>
      <c r="T25" s="192">
        <v>125851</v>
      </c>
      <c r="U25" s="192">
        <v>138537</v>
      </c>
      <c r="V25" s="192">
        <v>103936</v>
      </c>
      <c r="W25" s="192">
        <v>94744</v>
      </c>
    </row>
    <row r="26" spans="1:23">
      <c r="B26" s="179" t="s">
        <v>56</v>
      </c>
      <c r="D26" s="189">
        <v>7236466</v>
      </c>
      <c r="E26" s="189">
        <v>7086504</v>
      </c>
      <c r="F26" s="189">
        <v>7418390</v>
      </c>
      <c r="G26" s="190">
        <v>7424304</v>
      </c>
      <c r="H26" s="189">
        <v>7702349</v>
      </c>
      <c r="I26" s="189">
        <v>7630135</v>
      </c>
      <c r="J26" s="189">
        <v>7449684</v>
      </c>
      <c r="K26" s="190">
        <v>7253114</v>
      </c>
      <c r="L26" s="189">
        <v>7156383</v>
      </c>
      <c r="M26" s="189">
        <v>6873734</v>
      </c>
      <c r="N26" s="189">
        <v>6624029</v>
      </c>
      <c r="O26" s="190">
        <v>6598137</v>
      </c>
      <c r="P26" s="189">
        <v>6651812</v>
      </c>
      <c r="Q26" s="189">
        <v>6715139</v>
      </c>
      <c r="R26" s="189">
        <v>6680412</v>
      </c>
      <c r="S26" s="190">
        <v>6893160</v>
      </c>
      <c r="T26" s="189">
        <v>7052082</v>
      </c>
      <c r="U26" s="189">
        <v>7343529</v>
      </c>
      <c r="V26" s="189">
        <v>7379475</v>
      </c>
      <c r="W26" s="189">
        <v>7580224</v>
      </c>
    </row>
    <row r="27" spans="1:23">
      <c r="B27" s="179" t="s">
        <v>55</v>
      </c>
      <c r="D27" s="189">
        <v>1870726</v>
      </c>
      <c r="E27" s="189">
        <v>1825406</v>
      </c>
      <c r="F27" s="189">
        <v>2085992</v>
      </c>
      <c r="G27" s="190">
        <v>2280467</v>
      </c>
      <c r="H27" s="189">
        <v>201620</v>
      </c>
      <c r="I27" s="189">
        <v>2316998</v>
      </c>
      <c r="J27" s="189">
        <v>2199531</v>
      </c>
      <c r="K27" s="190">
        <v>2017591</v>
      </c>
      <c r="L27" s="189">
        <v>1949181</v>
      </c>
      <c r="M27" s="189">
        <v>1668271</v>
      </c>
      <c r="N27" s="189">
        <v>1545400</v>
      </c>
      <c r="O27" s="190">
        <v>1450558</v>
      </c>
      <c r="P27" s="189">
        <v>1456546</v>
      </c>
      <c r="Q27" s="189">
        <v>1570435</v>
      </c>
      <c r="R27" s="189">
        <v>1419524</v>
      </c>
      <c r="S27" s="190">
        <v>1542469</v>
      </c>
      <c r="T27" s="189">
        <v>1575540</v>
      </c>
      <c r="U27" s="189">
        <v>1909992</v>
      </c>
      <c r="V27" s="189">
        <v>1842002</v>
      </c>
      <c r="W27" s="189">
        <v>1948786</v>
      </c>
    </row>
    <row r="28" spans="1:23" ht="17">
      <c r="A28" s="179">
        <v>5</v>
      </c>
      <c r="B28" s="183" t="s">
        <v>13</v>
      </c>
      <c r="C28" s="183"/>
      <c r="D28" s="189"/>
      <c r="E28" s="189"/>
      <c r="F28" s="189"/>
      <c r="G28" s="190"/>
      <c r="H28" s="189"/>
      <c r="I28" s="189"/>
      <c r="J28" s="189"/>
      <c r="K28" s="190"/>
      <c r="L28" s="189"/>
      <c r="M28" s="189"/>
      <c r="N28" s="189"/>
      <c r="O28" s="190"/>
      <c r="P28" s="189"/>
      <c r="Q28" s="189"/>
      <c r="R28" s="189"/>
      <c r="S28" s="190"/>
      <c r="T28" s="189"/>
      <c r="U28" s="189"/>
      <c r="V28" s="189"/>
      <c r="W28" s="190"/>
    </row>
    <row r="29" spans="1:23">
      <c r="B29" s="179" t="s">
        <v>58</v>
      </c>
      <c r="D29" s="189">
        <v>945905221392</v>
      </c>
      <c r="E29" s="189">
        <v>945905221392</v>
      </c>
      <c r="F29" s="189">
        <v>945905221392</v>
      </c>
      <c r="G29" s="190">
        <v>945905221392</v>
      </c>
      <c r="H29" s="189">
        <v>591285427040</v>
      </c>
      <c r="I29" s="189">
        <v>273624650812</v>
      </c>
      <c r="J29" s="189">
        <v>231074640844</v>
      </c>
      <c r="K29" s="190">
        <v>172660668664</v>
      </c>
      <c r="L29" s="189">
        <v>187601086582</v>
      </c>
      <c r="M29" s="189">
        <v>182208543582</v>
      </c>
      <c r="N29" s="189">
        <v>171118290665</v>
      </c>
      <c r="O29" s="190">
        <v>165547101103</v>
      </c>
      <c r="P29" s="189">
        <v>204770446220</v>
      </c>
      <c r="Q29" s="189">
        <v>443424812739</v>
      </c>
      <c r="R29" s="189">
        <v>369125431250</v>
      </c>
      <c r="S29" s="190">
        <v>287482120575</v>
      </c>
      <c r="T29" s="189">
        <v>421547416034</v>
      </c>
      <c r="U29" s="189">
        <v>345596686945</v>
      </c>
      <c r="V29" s="189">
        <v>260727827628</v>
      </c>
      <c r="W29" s="189">
        <v>332000477335</v>
      </c>
    </row>
    <row r="30" spans="1:23">
      <c r="B30" s="179" t="s">
        <v>59</v>
      </c>
      <c r="D30" s="189">
        <v>2007253622193</v>
      </c>
      <c r="E30" s="189">
        <v>2007253622193</v>
      </c>
      <c r="F30" s="189">
        <v>2007253622193</v>
      </c>
      <c r="G30" s="190">
        <v>2007253622193</v>
      </c>
      <c r="H30" s="189">
        <v>3677930441696</v>
      </c>
      <c r="I30" s="189">
        <v>3784785476784</v>
      </c>
      <c r="J30" s="189">
        <v>4556451455693</v>
      </c>
      <c r="K30" s="190">
        <v>4957130972939</v>
      </c>
      <c r="L30" s="189">
        <v>5636482334091</v>
      </c>
      <c r="M30" s="189">
        <v>5720799008647</v>
      </c>
      <c r="N30" s="189">
        <v>6182400600664</v>
      </c>
      <c r="O30" s="190">
        <v>6601734213455</v>
      </c>
      <c r="P30" s="189">
        <v>7085285972492</v>
      </c>
      <c r="Q30" s="189">
        <v>7769790484838</v>
      </c>
      <c r="R30" s="189">
        <v>7963117034619</v>
      </c>
      <c r="S30" s="190">
        <v>7454518137308</v>
      </c>
      <c r="T30" s="189">
        <v>7807263973395</v>
      </c>
      <c r="U30" s="189">
        <v>8035135191020</v>
      </c>
      <c r="V30" s="189">
        <v>8282603730779</v>
      </c>
      <c r="W30" s="189">
        <v>8578183745370</v>
      </c>
    </row>
    <row r="31" spans="1:23" ht="17">
      <c r="B31" s="183" t="s">
        <v>57</v>
      </c>
      <c r="C31" s="183"/>
      <c r="D31" s="192">
        <v>-93594178170</v>
      </c>
      <c r="E31" s="192">
        <v>10946047390</v>
      </c>
      <c r="F31" s="192">
        <v>83089461583</v>
      </c>
      <c r="G31" s="192">
        <v>-157809949609</v>
      </c>
      <c r="H31" s="192">
        <v>-343353407481</v>
      </c>
      <c r="I31" s="192">
        <v>-566274604456</v>
      </c>
      <c r="J31" s="192">
        <v>-805545773712</v>
      </c>
      <c r="K31" s="192">
        <v>-1039416087912</v>
      </c>
      <c r="L31" s="192">
        <v>-749678219705</v>
      </c>
      <c r="M31" s="192">
        <v>-422094726448</v>
      </c>
      <c r="N31" s="192">
        <v>-479727752512</v>
      </c>
      <c r="O31" s="192">
        <v>-693893502505</v>
      </c>
      <c r="P31" s="192">
        <v>-501600988846</v>
      </c>
      <c r="Q31" s="192">
        <v>-555715347215</v>
      </c>
      <c r="R31" s="192">
        <v>-422860073056</v>
      </c>
      <c r="S31" s="192">
        <v>-166760541521</v>
      </c>
      <c r="T31" s="192">
        <v>21498750462</v>
      </c>
      <c r="U31" s="192">
        <v>-194299191091</v>
      </c>
      <c r="V31" s="192">
        <v>-701402683641</v>
      </c>
      <c r="W31" s="192">
        <v>-206512579183</v>
      </c>
    </row>
    <row r="32" spans="1:23">
      <c r="B32" s="179" t="s">
        <v>56</v>
      </c>
      <c r="D32" s="189">
        <v>2613070074932</v>
      </c>
      <c r="E32" s="189">
        <v>2613070074932</v>
      </c>
      <c r="F32" s="189">
        <v>2613070074932</v>
      </c>
      <c r="G32" s="190">
        <v>2613070074932</v>
      </c>
      <c r="H32" s="189">
        <v>7268703395568</v>
      </c>
      <c r="I32" s="189">
        <v>6887499317483</v>
      </c>
      <c r="J32" s="189">
        <v>6687172053063</v>
      </c>
      <c r="K32" s="190">
        <v>6080516085752</v>
      </c>
      <c r="L32" s="189">
        <v>5839626657566</v>
      </c>
      <c r="M32" s="189">
        <v>5577427611723</v>
      </c>
      <c r="N32" s="189">
        <v>5337572636540</v>
      </c>
      <c r="O32" s="190">
        <v>5149094524206</v>
      </c>
      <c r="P32" s="189">
        <v>4983897645927</v>
      </c>
      <c r="Q32" s="189">
        <v>5064049232627</v>
      </c>
      <c r="R32" s="189">
        <v>4784690896525</v>
      </c>
      <c r="S32" s="190">
        <v>5356962889162</v>
      </c>
      <c r="T32" s="189">
        <v>5984058012395</v>
      </c>
      <c r="U32" s="189">
        <v>6016051456992</v>
      </c>
      <c r="V32" s="189">
        <v>5754889182182</v>
      </c>
      <c r="W32" s="189">
        <v>6116294571351</v>
      </c>
    </row>
    <row r="33" spans="1:23">
      <c r="B33" s="179" t="s">
        <v>55</v>
      </c>
      <c r="D33" s="189">
        <v>2410942815607</v>
      </c>
      <c r="E33" s="189">
        <v>2410942815607</v>
      </c>
      <c r="F33" s="189">
        <v>2410942815607</v>
      </c>
      <c r="G33" s="190">
        <v>2410942815607</v>
      </c>
      <c r="H33" s="189">
        <v>8199604383116</v>
      </c>
      <c r="I33" s="189">
        <v>8219458297214</v>
      </c>
      <c r="J33" s="189">
        <v>8671064424239</v>
      </c>
      <c r="K33" s="190">
        <v>8990927886117</v>
      </c>
      <c r="L33" s="189">
        <v>9499716677636</v>
      </c>
      <c r="M33" s="189">
        <v>9624055577585</v>
      </c>
      <c r="N33" s="189">
        <v>9863928354915</v>
      </c>
      <c r="O33" s="190">
        <v>10354172604375</v>
      </c>
      <c r="P33" s="189">
        <v>10690576714942</v>
      </c>
      <c r="Q33" s="189">
        <v>11326443648857</v>
      </c>
      <c r="R33" s="189">
        <v>11469945385811</v>
      </c>
      <c r="S33" s="190">
        <v>12172269741814</v>
      </c>
      <c r="T33" s="189">
        <v>12777866114585</v>
      </c>
      <c r="U33" s="189">
        <v>13004158750273</v>
      </c>
      <c r="V33" s="189">
        <v>13444399155372</v>
      </c>
      <c r="W33" s="189">
        <v>14018410448757</v>
      </c>
    </row>
    <row r="34" spans="1:23" ht="17">
      <c r="A34" s="179">
        <v>6</v>
      </c>
      <c r="B34" s="183" t="s">
        <v>14</v>
      </c>
      <c r="C34" s="183"/>
      <c r="D34" s="189"/>
      <c r="E34" s="189"/>
      <c r="F34" s="189"/>
      <c r="G34" s="190"/>
      <c r="H34" s="189"/>
      <c r="I34" s="189"/>
      <c r="J34" s="189"/>
      <c r="K34" s="190"/>
      <c r="L34" s="189"/>
      <c r="M34" s="189"/>
      <c r="N34" s="189"/>
      <c r="O34" s="190"/>
      <c r="P34" s="189"/>
      <c r="Q34" s="189"/>
      <c r="R34" s="189"/>
      <c r="S34" s="190"/>
      <c r="T34" s="189"/>
      <c r="U34" s="189"/>
      <c r="V34" s="189"/>
      <c r="W34" s="190"/>
    </row>
    <row r="35" spans="1:23">
      <c r="B35" s="179" t="s">
        <v>58</v>
      </c>
      <c r="D35" s="189">
        <v>1517166976</v>
      </c>
      <c r="E35" s="189">
        <v>1274592068</v>
      </c>
      <c r="F35" s="189">
        <v>1283473407</v>
      </c>
      <c r="G35" s="190">
        <v>1133892533</v>
      </c>
      <c r="H35" s="189">
        <v>772781719</v>
      </c>
      <c r="I35" s="189">
        <v>717107320</v>
      </c>
      <c r="J35" s="189">
        <v>714334618</v>
      </c>
      <c r="K35" s="190">
        <v>536547176</v>
      </c>
      <c r="L35" s="192">
        <v>485511548</v>
      </c>
      <c r="M35" s="192">
        <v>403574266</v>
      </c>
      <c r="N35" s="192">
        <v>363037417</v>
      </c>
      <c r="O35" s="190">
        <v>305725029</v>
      </c>
      <c r="P35" s="189">
        <v>398327136</v>
      </c>
      <c r="Q35" s="189">
        <v>388924186</v>
      </c>
      <c r="R35" s="189">
        <v>462123976</v>
      </c>
      <c r="S35" s="190">
        <v>801153825</v>
      </c>
      <c r="T35" s="189">
        <v>791902618</v>
      </c>
      <c r="U35" s="189">
        <v>831944701</v>
      </c>
      <c r="V35" s="189">
        <v>825425586</v>
      </c>
      <c r="W35" s="189">
        <v>653772901</v>
      </c>
    </row>
    <row r="36" spans="1:23">
      <c r="B36" s="179" t="s">
        <v>59</v>
      </c>
      <c r="D36" s="189">
        <v>2489683653</v>
      </c>
      <c r="E36" s="189">
        <v>2976891092</v>
      </c>
      <c r="F36" s="189">
        <v>2872206303</v>
      </c>
      <c r="G36" s="190">
        <v>3257836267</v>
      </c>
      <c r="H36" s="189">
        <v>3678102731</v>
      </c>
      <c r="I36" s="189">
        <v>4401796407</v>
      </c>
      <c r="J36" s="189">
        <v>4692356967</v>
      </c>
      <c r="K36" s="190">
        <v>4294797755</v>
      </c>
      <c r="L36" s="192">
        <v>4552796933</v>
      </c>
      <c r="M36" s="192">
        <v>5055581006</v>
      </c>
      <c r="N36" s="192">
        <v>5287113079</v>
      </c>
      <c r="O36" s="190">
        <v>5771313185</v>
      </c>
      <c r="P36" s="189">
        <v>6116341452</v>
      </c>
      <c r="Q36" s="189">
        <v>2160871238</v>
      </c>
      <c r="R36" s="189">
        <v>2234699113</v>
      </c>
      <c r="S36" s="190">
        <v>1681029672</v>
      </c>
      <c r="T36" s="189">
        <v>1748164775</v>
      </c>
      <c r="U36" s="189">
        <v>1659398474</v>
      </c>
      <c r="V36" s="189">
        <v>1547069196</v>
      </c>
      <c r="W36" s="189">
        <v>1165155552</v>
      </c>
    </row>
    <row r="37" spans="1:23" ht="17">
      <c r="B37" s="183" t="s">
        <v>57</v>
      </c>
      <c r="C37" s="183"/>
      <c r="D37" s="192">
        <v>19739403</v>
      </c>
      <c r="E37" s="192">
        <v>4111233</v>
      </c>
      <c r="F37" s="192">
        <v>98978823</v>
      </c>
      <c r="G37" s="192">
        <v>-167396974</v>
      </c>
      <c r="H37" s="192">
        <v>-123510017</v>
      </c>
      <c r="I37" s="192">
        <v>-599752513</v>
      </c>
      <c r="J37" s="192">
        <v>-368434843</v>
      </c>
      <c r="K37" s="192">
        <v>-1384935976</v>
      </c>
      <c r="L37" s="192">
        <v>-385355709</v>
      </c>
      <c r="M37" s="192">
        <v>-516299318</v>
      </c>
      <c r="N37" s="192">
        <v>-764952954</v>
      </c>
      <c r="O37" s="192">
        <v>-2507396787</v>
      </c>
      <c r="P37" s="192">
        <v>-224142484</v>
      </c>
      <c r="Q37" s="192">
        <v>3982874480</v>
      </c>
      <c r="R37" s="192">
        <v>-61795732</v>
      </c>
      <c r="S37" s="192">
        <v>39734040</v>
      </c>
      <c r="T37" s="192">
        <v>-110038111</v>
      </c>
      <c r="U37" s="192">
        <v>33657531</v>
      </c>
      <c r="V37" s="192">
        <v>4312882</v>
      </c>
      <c r="W37" s="192">
        <v>324064278</v>
      </c>
    </row>
    <row r="38" spans="1:23">
      <c r="B38" s="179" t="s">
        <v>56</v>
      </c>
      <c r="D38" s="189">
        <v>4532636163</v>
      </c>
      <c r="E38" s="189">
        <v>4376417937</v>
      </c>
      <c r="F38" s="189">
        <v>4416285237</v>
      </c>
      <c r="G38" s="190">
        <v>4455675774</v>
      </c>
      <c r="H38" s="189">
        <v>9145362742</v>
      </c>
      <c r="I38" s="189">
        <v>10286925026</v>
      </c>
      <c r="J38" s="189">
        <v>9905520965</v>
      </c>
      <c r="K38" s="190">
        <v>10789980407</v>
      </c>
      <c r="L38" s="192">
        <v>10578854920</v>
      </c>
      <c r="M38" s="192">
        <v>10114775193</v>
      </c>
      <c r="N38" s="192">
        <v>9421554435</v>
      </c>
      <c r="O38" s="190">
        <v>7192745360</v>
      </c>
      <c r="P38" s="189">
        <v>7048311526</v>
      </c>
      <c r="Q38" s="189">
        <v>5859610789</v>
      </c>
      <c r="R38" s="189">
        <v>5886254617</v>
      </c>
      <c r="S38" s="190">
        <v>6235010979</v>
      </c>
      <c r="T38" s="189">
        <v>6185922236</v>
      </c>
      <c r="U38" s="189">
        <v>6281967367</v>
      </c>
      <c r="V38" s="189">
        <v>6155883433</v>
      </c>
      <c r="W38" s="189">
        <v>6727645053</v>
      </c>
    </row>
    <row r="39" spans="1:23">
      <c r="B39" s="179" t="s">
        <v>55</v>
      </c>
      <c r="D39" s="189">
        <v>3561521072</v>
      </c>
      <c r="E39" s="189">
        <v>3568226989</v>
      </c>
      <c r="F39" s="189">
        <v>3505343658</v>
      </c>
      <c r="G39" s="190">
        <v>3735052883</v>
      </c>
      <c r="H39" s="189">
        <v>8644553007</v>
      </c>
      <c r="I39" s="189">
        <v>10367698254</v>
      </c>
      <c r="J39" s="189">
        <v>10361096065</v>
      </c>
      <c r="K39" s="190">
        <v>12733004654</v>
      </c>
      <c r="L39" s="192">
        <v>12900600238</v>
      </c>
      <c r="M39" s="192">
        <v>12963057853</v>
      </c>
      <c r="N39" s="192">
        <v>13027027769</v>
      </c>
      <c r="O39" s="190">
        <v>13302805075</v>
      </c>
      <c r="P39" s="189">
        <v>13383273724</v>
      </c>
      <c r="Q39" s="189">
        <v>8210155101</v>
      </c>
      <c r="R39" s="189">
        <v>8298518817</v>
      </c>
      <c r="S39" s="190">
        <v>7770110129</v>
      </c>
      <c r="T39" s="189">
        <v>7828860146</v>
      </c>
      <c r="U39" s="189">
        <v>7892044635</v>
      </c>
      <c r="V39" s="189">
        <v>7766536580</v>
      </c>
      <c r="W39" s="189">
        <v>8010372227</v>
      </c>
    </row>
    <row r="40" spans="1:23" ht="17">
      <c r="A40" s="179">
        <v>7</v>
      </c>
      <c r="B40" s="183" t="s">
        <v>15</v>
      </c>
      <c r="C40" s="183"/>
      <c r="D40" s="189"/>
      <c r="E40" s="189"/>
      <c r="F40" s="189"/>
      <c r="G40" s="190"/>
      <c r="H40" s="189"/>
      <c r="I40" s="189"/>
      <c r="J40" s="189"/>
      <c r="K40" s="190"/>
      <c r="L40" s="189"/>
      <c r="M40" s="189"/>
      <c r="N40" s="189"/>
      <c r="O40" s="190"/>
      <c r="P40" s="189"/>
      <c r="Q40" s="189"/>
      <c r="R40" s="189"/>
      <c r="S40" s="190"/>
      <c r="T40" s="189"/>
      <c r="U40" s="189"/>
      <c r="V40" s="189"/>
      <c r="W40" s="190"/>
    </row>
    <row r="41" spans="1:23">
      <c r="B41" s="179" t="s">
        <v>58</v>
      </c>
      <c r="D41" s="189">
        <v>34512068577</v>
      </c>
      <c r="E41" s="189">
        <v>34512068577</v>
      </c>
      <c r="F41" s="189">
        <v>34512068577</v>
      </c>
      <c r="G41" s="190">
        <v>38017626817</v>
      </c>
      <c r="H41" s="189">
        <v>38248329322</v>
      </c>
      <c r="I41" s="189">
        <v>27088497210</v>
      </c>
      <c r="J41" s="189">
        <v>27576424739</v>
      </c>
      <c r="K41" s="190">
        <v>19404955562</v>
      </c>
      <c r="L41" s="192">
        <v>21526954831</v>
      </c>
      <c r="M41" s="192">
        <v>21079236500</v>
      </c>
      <c r="N41" s="192">
        <v>21771038126</v>
      </c>
      <c r="O41" s="190">
        <v>19325367668</v>
      </c>
      <c r="P41" s="189">
        <v>19626405098</v>
      </c>
      <c r="Q41" s="189">
        <v>23336473893</v>
      </c>
      <c r="R41" s="189">
        <v>23378684369</v>
      </c>
      <c r="S41" s="190">
        <v>17677040107</v>
      </c>
      <c r="T41" s="189">
        <v>18155804794</v>
      </c>
      <c r="U41" s="189">
        <v>19211186565</v>
      </c>
      <c r="V41" s="189">
        <v>21447735622</v>
      </c>
      <c r="W41" s="189">
        <v>18053348535</v>
      </c>
    </row>
    <row r="42" spans="1:23">
      <c r="B42" s="179" t="s">
        <v>59</v>
      </c>
      <c r="D42" s="189">
        <v>22879247704</v>
      </c>
      <c r="E42" s="189">
        <v>22879247704</v>
      </c>
      <c r="F42" s="189">
        <v>22879247704</v>
      </c>
      <c r="G42" s="190">
        <v>16654963274</v>
      </c>
      <c r="H42" s="189">
        <v>27632896036</v>
      </c>
      <c r="I42" s="189">
        <v>21419135050</v>
      </c>
      <c r="J42" s="189">
        <v>24470591891</v>
      </c>
      <c r="K42" s="190">
        <v>24273678406</v>
      </c>
      <c r="L42" s="192">
        <v>24563570228</v>
      </c>
      <c r="M42" s="192">
        <v>21456420189</v>
      </c>
      <c r="N42" s="192">
        <v>20196145407</v>
      </c>
      <c r="O42" s="190">
        <v>19204829670</v>
      </c>
      <c r="P42" s="189">
        <v>25429458473</v>
      </c>
      <c r="Q42" s="189">
        <v>15759034780</v>
      </c>
      <c r="R42" s="189">
        <v>14979292354</v>
      </c>
      <c r="S42" s="190">
        <v>23685508054</v>
      </c>
      <c r="T42" s="189">
        <v>23841879612</v>
      </c>
      <c r="U42" s="189">
        <v>21544252750</v>
      </c>
      <c r="V42" s="189">
        <v>21360917345</v>
      </c>
      <c r="W42" s="189">
        <v>21336844940</v>
      </c>
    </row>
    <row r="43" spans="1:23" ht="17">
      <c r="B43" s="183" t="s">
        <v>57</v>
      </c>
      <c r="C43" s="183"/>
      <c r="D43" s="192">
        <v>-5346465369</v>
      </c>
      <c r="E43" s="192">
        <v>5733367963</v>
      </c>
      <c r="F43" s="192">
        <v>-2592219414</v>
      </c>
      <c r="G43" s="192">
        <v>-4651823811</v>
      </c>
      <c r="H43" s="192">
        <v>-11461934152</v>
      </c>
      <c r="I43" s="192">
        <v>-13892895050</v>
      </c>
      <c r="J43" s="192">
        <v>-7774677848</v>
      </c>
      <c r="K43" s="192">
        <v>-9897552339</v>
      </c>
      <c r="L43" s="192">
        <v>-7119820292</v>
      </c>
      <c r="M43" s="192">
        <v>-3772727810</v>
      </c>
      <c r="N43" s="192">
        <v>-6867479305</v>
      </c>
      <c r="O43" s="192">
        <v>-8706805346</v>
      </c>
      <c r="P43" s="192">
        <v>-3644996017</v>
      </c>
      <c r="Q43" s="192">
        <v>-3084110232</v>
      </c>
      <c r="R43" s="192">
        <v>-3887220043</v>
      </c>
      <c r="S43" s="192">
        <v>-10695598535</v>
      </c>
      <c r="T43" s="192">
        <v>-2110846873</v>
      </c>
      <c r="U43" s="192">
        <v>5512441388</v>
      </c>
      <c r="V43" s="192">
        <v>-1255356994</v>
      </c>
      <c r="W43" s="192">
        <v>-2923439952</v>
      </c>
    </row>
    <row r="44" spans="1:23">
      <c r="B44" s="179" t="s">
        <v>56</v>
      </c>
      <c r="D44" s="189">
        <v>309388614530</v>
      </c>
      <c r="E44" s="189">
        <v>309388614530</v>
      </c>
      <c r="F44" s="189">
        <v>309388614530</v>
      </c>
      <c r="G44" s="190">
        <v>302636796677</v>
      </c>
      <c r="H44" s="189">
        <v>301231881730</v>
      </c>
      <c r="I44" s="189">
        <v>282502430298</v>
      </c>
      <c r="J44" s="189">
        <v>276892247526</v>
      </c>
      <c r="K44" s="190">
        <v>270508602770</v>
      </c>
      <c r="L44" s="192">
        <v>262695172728</v>
      </c>
      <c r="M44" s="192">
        <v>255161657384</v>
      </c>
      <c r="N44" s="192">
        <v>246083724363</v>
      </c>
      <c r="O44" s="190">
        <v>23933398335</v>
      </c>
      <c r="P44" s="189">
        <v>241482571614</v>
      </c>
      <c r="Q44" s="189">
        <v>228718687689</v>
      </c>
      <c r="R44" s="189">
        <v>224058825220</v>
      </c>
      <c r="S44" s="190">
        <v>224704254718</v>
      </c>
      <c r="T44" s="189">
        <v>222691715893</v>
      </c>
      <c r="U44" s="189">
        <v>225906530419</v>
      </c>
      <c r="V44" s="189">
        <v>224468888020</v>
      </c>
      <c r="W44" s="189">
        <v>358763150139</v>
      </c>
    </row>
    <row r="45" spans="1:23">
      <c r="B45" s="179" t="s">
        <v>55</v>
      </c>
      <c r="D45" s="189">
        <v>46690269084</v>
      </c>
      <c r="E45" s="189">
        <v>46690269084</v>
      </c>
      <c r="F45" s="189">
        <v>46690269084</v>
      </c>
      <c r="G45" s="190">
        <v>41462629189</v>
      </c>
      <c r="H45" s="189">
        <v>51519648394</v>
      </c>
      <c r="I45" s="189">
        <v>46683092012</v>
      </c>
      <c r="J45" s="189">
        <v>48847587088</v>
      </c>
      <c r="K45" s="190">
        <v>52352752945</v>
      </c>
      <c r="L45" s="192">
        <v>51659143195</v>
      </c>
      <c r="M45" s="192">
        <v>47898355661</v>
      </c>
      <c r="N45" s="192">
        <v>45687901945</v>
      </c>
      <c r="O45" s="190">
        <v>47302648250</v>
      </c>
      <c r="P45" s="189">
        <v>53096232527</v>
      </c>
      <c r="Q45" s="189">
        <v>43416458834</v>
      </c>
      <c r="R45" s="189">
        <v>42643816408</v>
      </c>
      <c r="S45" s="190">
        <v>53996429050</v>
      </c>
      <c r="T45" s="189">
        <v>54094737098</v>
      </c>
      <c r="U45" s="189">
        <v>51797110236</v>
      </c>
      <c r="V45" s="189">
        <v>51614824831</v>
      </c>
      <c r="W45" s="189">
        <v>52183775772</v>
      </c>
    </row>
    <row r="46" spans="1:23" ht="17">
      <c r="A46" s="179">
        <v>8</v>
      </c>
      <c r="B46" s="183" t="s">
        <v>16</v>
      </c>
      <c r="C46" s="183"/>
      <c r="D46" s="189"/>
      <c r="E46" s="189"/>
      <c r="F46" s="189"/>
      <c r="G46" s="190"/>
      <c r="H46" s="189"/>
      <c r="I46" s="189"/>
      <c r="J46" s="189"/>
      <c r="K46" s="190"/>
      <c r="L46" s="189"/>
      <c r="M46" s="189"/>
      <c r="N46" s="189"/>
      <c r="O46" s="190"/>
      <c r="P46" s="189"/>
      <c r="Q46" s="189"/>
      <c r="R46" s="189"/>
      <c r="S46" s="190"/>
      <c r="T46" s="189"/>
      <c r="U46" s="189"/>
      <c r="V46" s="189"/>
      <c r="W46" s="190"/>
    </row>
    <row r="47" spans="1:23">
      <c r="B47" s="179" t="s">
        <v>58</v>
      </c>
      <c r="D47" s="189">
        <v>93219013426</v>
      </c>
      <c r="E47" s="189">
        <v>89752879057</v>
      </c>
      <c r="F47" s="189">
        <v>92957561233</v>
      </c>
      <c r="G47" s="194">
        <v>50686494782</v>
      </c>
      <c r="H47" s="189">
        <v>62454687376</v>
      </c>
      <c r="I47" s="189">
        <v>59553623638</v>
      </c>
      <c r="J47" s="189">
        <v>58769120972</v>
      </c>
      <c r="K47" s="190">
        <v>55211778498</v>
      </c>
      <c r="L47" s="186">
        <v>50686494782</v>
      </c>
      <c r="M47" s="186">
        <v>52249191040</v>
      </c>
      <c r="N47" s="186">
        <v>53858514565</v>
      </c>
      <c r="O47" s="190">
        <v>54436318441</v>
      </c>
      <c r="P47" s="189">
        <v>54112868440</v>
      </c>
      <c r="Q47" s="189">
        <v>54014540723</v>
      </c>
      <c r="R47" s="189">
        <v>56649367420</v>
      </c>
      <c r="S47" s="190">
        <v>34184789301</v>
      </c>
      <c r="T47" s="189">
        <v>32159959733</v>
      </c>
      <c r="U47" s="189">
        <v>35474407705</v>
      </c>
      <c r="V47" s="189">
        <v>32902256628</v>
      </c>
      <c r="W47" s="189">
        <v>33787422242</v>
      </c>
    </row>
    <row r="48" spans="1:23">
      <c r="B48" s="179" t="s">
        <v>59</v>
      </c>
      <c r="D48" s="189">
        <v>44729802476</v>
      </c>
      <c r="E48" s="189">
        <v>44288121913</v>
      </c>
      <c r="F48" s="189">
        <v>40030235874</v>
      </c>
      <c r="G48" s="190">
        <v>50490247279</v>
      </c>
      <c r="H48" s="189">
        <v>45943550075</v>
      </c>
      <c r="I48" s="189">
        <v>47727831808</v>
      </c>
      <c r="J48" s="189">
        <v>41200653720</v>
      </c>
      <c r="K48" s="190">
        <v>47140889442</v>
      </c>
      <c r="L48" s="186">
        <v>35093096520</v>
      </c>
      <c r="M48" s="186">
        <v>38493719903</v>
      </c>
      <c r="N48" s="186">
        <v>40571502231</v>
      </c>
      <c r="O48" s="190">
        <v>49557803766</v>
      </c>
      <c r="P48" s="189">
        <v>47144662792</v>
      </c>
      <c r="Q48" s="189">
        <v>46951860160</v>
      </c>
      <c r="R48" s="189">
        <v>54343811263</v>
      </c>
      <c r="S48" s="190">
        <v>74206852627</v>
      </c>
      <c r="T48" s="189">
        <v>71539186825</v>
      </c>
      <c r="U48" s="189">
        <v>50347631968</v>
      </c>
      <c r="V48" s="189">
        <v>44190473103</v>
      </c>
      <c r="W48" s="189">
        <v>47115276731</v>
      </c>
    </row>
    <row r="49" spans="1:23" ht="17">
      <c r="B49" s="183" t="s">
        <v>57</v>
      </c>
      <c r="C49" s="183"/>
      <c r="D49" s="192">
        <v>8229478380</v>
      </c>
      <c r="E49" s="192">
        <v>1398694217</v>
      </c>
      <c r="F49" s="192">
        <v>2109506584</v>
      </c>
      <c r="G49" s="192">
        <v>-14960049381</v>
      </c>
      <c r="H49" s="192">
        <v>-4559127518</v>
      </c>
      <c r="I49" s="192">
        <v>-7964937557</v>
      </c>
      <c r="J49" s="192">
        <v>-4991970317</v>
      </c>
      <c r="K49" s="192">
        <v>-702141981</v>
      </c>
      <c r="L49" s="192">
        <v>-6006402846</v>
      </c>
      <c r="M49" s="192">
        <v>-2440144189</v>
      </c>
      <c r="N49" s="192">
        <v>-316970091</v>
      </c>
      <c r="O49" s="192">
        <v>-4432141608</v>
      </c>
      <c r="P49" s="192">
        <v>-2739427080</v>
      </c>
      <c r="Q49" s="192">
        <v>-6241305522</v>
      </c>
      <c r="R49" s="192">
        <v>2728109988</v>
      </c>
      <c r="S49" s="192">
        <v>-25099615103</v>
      </c>
      <c r="T49" s="192">
        <v>-2325989426</v>
      </c>
      <c r="U49" s="192">
        <v>-3394847277</v>
      </c>
      <c r="V49" s="192">
        <v>-1284512177</v>
      </c>
      <c r="W49" s="192">
        <v>-3173731980</v>
      </c>
    </row>
    <row r="50" spans="1:23">
      <c r="B50" s="179" t="s">
        <v>56</v>
      </c>
      <c r="D50" s="189">
        <v>353609743660</v>
      </c>
      <c r="E50" s="189">
        <v>353818214404</v>
      </c>
      <c r="F50" s="189">
        <v>370135603809</v>
      </c>
      <c r="G50" s="190">
        <v>351483053912</v>
      </c>
      <c r="H50" s="189">
        <v>336671111661</v>
      </c>
      <c r="I50" s="189">
        <v>329370565365</v>
      </c>
      <c r="J50" s="189">
        <v>322303411712</v>
      </c>
      <c r="K50" s="190">
        <v>317031964534</v>
      </c>
      <c r="L50" s="186">
        <v>309211608333</v>
      </c>
      <c r="M50" s="186">
        <v>305138996882</v>
      </c>
      <c r="N50" s="186">
        <v>301779269071</v>
      </c>
      <c r="O50" s="190">
        <v>301506104882</v>
      </c>
      <c r="P50" s="189">
        <v>298001533716</v>
      </c>
      <c r="Q50" s="189">
        <v>294025834082</v>
      </c>
      <c r="R50" s="189">
        <v>293102882293</v>
      </c>
      <c r="S50" s="190">
        <v>267905168207</v>
      </c>
      <c r="T50" s="189">
        <v>260611904364</v>
      </c>
      <c r="U50" s="189">
        <v>253601158787</v>
      </c>
      <c r="V50" s="189">
        <v>245605853793</v>
      </c>
      <c r="W50" s="189">
        <v>243227525308</v>
      </c>
    </row>
    <row r="51" spans="1:23">
      <c r="B51" s="179" t="s">
        <v>55</v>
      </c>
      <c r="D51" s="189">
        <v>109489098760</v>
      </c>
      <c r="E51" s="189">
        <v>107908875287</v>
      </c>
      <c r="F51" s="189">
        <v>107101758108</v>
      </c>
      <c r="G51" s="190">
        <v>116925646360</v>
      </c>
      <c r="H51" s="189">
        <v>107377831627</v>
      </c>
      <c r="I51" s="189">
        <v>108372222888</v>
      </c>
      <c r="J51" s="189">
        <v>107542039552</v>
      </c>
      <c r="K51" s="190">
        <v>101678044013</v>
      </c>
      <c r="L51" s="186">
        <v>98454090658</v>
      </c>
      <c r="M51" s="186">
        <v>97751623396</v>
      </c>
      <c r="N51" s="186">
        <v>96088865676</v>
      </c>
      <c r="O51" s="190">
        <v>98256140568</v>
      </c>
      <c r="P51" s="189">
        <v>97475996482</v>
      </c>
      <c r="Q51" s="189">
        <v>99681602370</v>
      </c>
      <c r="R51" s="189">
        <v>96120540593</v>
      </c>
      <c r="S51" s="190">
        <v>95158553605</v>
      </c>
      <c r="T51" s="189">
        <v>91541279188</v>
      </c>
      <c r="U51" s="189">
        <v>88132630888</v>
      </c>
      <c r="V51" s="189">
        <v>81421838071</v>
      </c>
      <c r="W51" s="189">
        <v>81483602119</v>
      </c>
    </row>
    <row r="52" spans="1:23" ht="17">
      <c r="A52" s="179">
        <v>9</v>
      </c>
      <c r="B52" s="196" t="s">
        <v>17</v>
      </c>
      <c r="C52" s="183"/>
      <c r="D52" s="189"/>
      <c r="E52" s="189"/>
      <c r="F52" s="189"/>
      <c r="G52" s="190"/>
      <c r="H52" s="189"/>
      <c r="I52" s="189"/>
      <c r="J52" s="189"/>
      <c r="K52" s="190"/>
      <c r="L52" s="189"/>
      <c r="M52" s="189"/>
      <c r="N52" s="189"/>
      <c r="O52" s="190"/>
      <c r="P52" s="189"/>
      <c r="Q52" s="189"/>
      <c r="R52" s="189"/>
      <c r="S52" s="190"/>
      <c r="T52" s="189"/>
      <c r="U52" s="189"/>
      <c r="V52" s="189"/>
      <c r="W52" s="190"/>
    </row>
    <row r="53" spans="1:23">
      <c r="B53" s="179" t="s">
        <v>58</v>
      </c>
      <c r="D53" s="189">
        <v>76423224206</v>
      </c>
      <c r="E53" s="189">
        <v>76423224206</v>
      </c>
      <c r="F53" s="189">
        <v>73451836658</v>
      </c>
      <c r="G53" s="190">
        <v>49132663896</v>
      </c>
      <c r="H53" s="189">
        <v>50119820922</v>
      </c>
      <c r="I53" s="189">
        <v>39197924842</v>
      </c>
      <c r="J53" s="189">
        <v>33017947759</v>
      </c>
      <c r="K53" s="190">
        <v>22244772501</v>
      </c>
      <c r="L53" s="192">
        <v>55054595838</v>
      </c>
      <c r="M53" s="189">
        <v>46422571539</v>
      </c>
      <c r="N53" s="192">
        <v>47254838083</v>
      </c>
      <c r="O53" s="190">
        <v>37793034662</v>
      </c>
      <c r="P53" s="189">
        <v>44151261076</v>
      </c>
      <c r="Q53" s="189">
        <v>46149506073</v>
      </c>
      <c r="R53" s="189">
        <v>43579565651</v>
      </c>
      <c r="S53" s="190">
        <v>200200256743</v>
      </c>
      <c r="T53" s="189">
        <v>217311408665</v>
      </c>
      <c r="U53" s="189">
        <v>210329638791</v>
      </c>
      <c r="V53" s="189">
        <v>222003036059</v>
      </c>
      <c r="W53" s="189">
        <v>222565767154</v>
      </c>
    </row>
    <row r="54" spans="1:23">
      <c r="B54" s="179" t="s">
        <v>59</v>
      </c>
      <c r="D54" s="189">
        <v>43681594924</v>
      </c>
      <c r="E54" s="189">
        <v>43681594924</v>
      </c>
      <c r="F54" s="189">
        <v>43879176260</v>
      </c>
      <c r="G54" s="190">
        <v>43307998190</v>
      </c>
      <c r="H54" s="189">
        <v>49089557566</v>
      </c>
      <c r="I54" s="189">
        <v>44532035549</v>
      </c>
      <c r="J54" s="189">
        <v>46059281600</v>
      </c>
      <c r="K54" s="190">
        <v>36588443043</v>
      </c>
      <c r="L54" s="192">
        <v>38464408160</v>
      </c>
      <c r="M54" s="189">
        <v>33753517411</v>
      </c>
      <c r="N54" s="192">
        <v>35849945132</v>
      </c>
      <c r="O54" s="190">
        <v>16348628229</v>
      </c>
      <c r="P54" s="189">
        <v>20985386316</v>
      </c>
      <c r="Q54" s="189">
        <v>26564419648</v>
      </c>
      <c r="R54" s="189">
        <v>21541069670</v>
      </c>
      <c r="S54" s="190">
        <v>68244336694</v>
      </c>
      <c r="T54" s="189">
        <v>69014034214</v>
      </c>
      <c r="U54" s="189">
        <v>49399525907</v>
      </c>
      <c r="V54" s="189">
        <v>47400135499</v>
      </c>
      <c r="W54" s="189">
        <v>47505697907</v>
      </c>
    </row>
    <row r="55" spans="1:23" ht="17">
      <c r="B55" s="183" t="s">
        <v>57</v>
      </c>
      <c r="C55" s="183"/>
      <c r="D55" s="192">
        <v>-1260670272</v>
      </c>
      <c r="E55" s="192">
        <v>-1416238240</v>
      </c>
      <c r="F55" s="197">
        <v>-2769572178</v>
      </c>
      <c r="G55" s="192">
        <v>-82487899358</v>
      </c>
      <c r="H55" s="192">
        <v>-5732742719</v>
      </c>
      <c r="I55" s="192">
        <v>-4647550221</v>
      </c>
      <c r="J55" s="197">
        <v>-8269536120</v>
      </c>
      <c r="K55" s="192">
        <v>22688999079</v>
      </c>
      <c r="L55" s="192">
        <v>1639248723</v>
      </c>
      <c r="M55" s="192">
        <v>19812400</v>
      </c>
      <c r="N55" s="192">
        <v>1626310022</v>
      </c>
      <c r="O55" s="192">
        <v>1937716918</v>
      </c>
      <c r="P55" s="192">
        <v>2798042147</v>
      </c>
      <c r="Q55" s="192">
        <v>865842181</v>
      </c>
      <c r="R55" s="192">
        <v>1581018396</v>
      </c>
      <c r="S55" s="192">
        <v>10100991146</v>
      </c>
      <c r="T55" s="192">
        <v>14312199282</v>
      </c>
      <c r="U55" s="192">
        <v>17299085769</v>
      </c>
      <c r="V55" s="192">
        <v>14616093099</v>
      </c>
      <c r="W55" s="192">
        <v>1661362889</v>
      </c>
    </row>
    <row r="56" spans="1:23">
      <c r="B56" s="179" t="s">
        <v>56</v>
      </c>
      <c r="D56" s="189">
        <v>142632963284</v>
      </c>
      <c r="E56" s="189">
        <v>142632963284</v>
      </c>
      <c r="F56" s="189">
        <v>140178127066</v>
      </c>
      <c r="G56" s="190">
        <v>57163867424</v>
      </c>
      <c r="H56" s="189">
        <v>58375389176</v>
      </c>
      <c r="I56" s="189">
        <v>47172384761</v>
      </c>
      <c r="J56" s="189">
        <v>40473715261</v>
      </c>
      <c r="K56" s="190">
        <v>27606076935</v>
      </c>
      <c r="L56" s="192">
        <v>171530657783</v>
      </c>
      <c r="M56" s="189">
        <v>165901471829</v>
      </c>
      <c r="N56" s="192">
        <v>169867950166</v>
      </c>
      <c r="O56" s="190">
        <v>157277320994</v>
      </c>
      <c r="P56" s="189">
        <v>164635457430</v>
      </c>
      <c r="Q56" s="189">
        <v>168698787264</v>
      </c>
      <c r="R56" s="189">
        <v>165268342559</v>
      </c>
      <c r="S56" s="190">
        <v>475033060324</v>
      </c>
      <c r="T56" s="189">
        <v>489786013727</v>
      </c>
      <c r="U56" s="189">
        <v>480094399525</v>
      </c>
      <c r="V56" s="189">
        <v>492668093163</v>
      </c>
      <c r="W56" s="189">
        <v>494887993945</v>
      </c>
    </row>
    <row r="57" spans="1:23">
      <c r="B57" s="179" t="s">
        <v>55</v>
      </c>
      <c r="D57" s="189">
        <v>69239005301</v>
      </c>
      <c r="E57" s="189">
        <v>69239005301</v>
      </c>
      <c r="F57" s="189">
        <v>69530921133</v>
      </c>
      <c r="G57" s="190">
        <v>68801967457</v>
      </c>
      <c r="H57" s="189">
        <v>78585629213</v>
      </c>
      <c r="I57" s="189">
        <v>69632074494</v>
      </c>
      <c r="J57" s="189">
        <v>71617917581</v>
      </c>
      <c r="K57" s="190">
        <v>36588443043</v>
      </c>
      <c r="L57" s="192">
        <v>40050718174</v>
      </c>
      <c r="M57" s="189">
        <v>35146877425</v>
      </c>
      <c r="N57" s="192">
        <v>37257305146</v>
      </c>
      <c r="O57" s="190">
        <v>18125030031</v>
      </c>
      <c r="P57" s="189">
        <v>22682484320</v>
      </c>
      <c r="Q57" s="189">
        <v>28186423956</v>
      </c>
      <c r="R57" s="189">
        <v>23174960855</v>
      </c>
      <c r="S57" s="190">
        <v>81035237770</v>
      </c>
      <c r="T57" s="189">
        <v>81475991891</v>
      </c>
      <c r="U57" s="189">
        <v>61315285386</v>
      </c>
      <c r="V57" s="189">
        <v>59272885925</v>
      </c>
      <c r="W57" s="189">
        <v>59091926505</v>
      </c>
    </row>
    <row r="58" spans="1:23" ht="17">
      <c r="A58" s="179">
        <v>10</v>
      </c>
      <c r="B58" s="185" t="s">
        <v>18</v>
      </c>
      <c r="C58" s="183"/>
      <c r="D58" s="189"/>
      <c r="E58" s="189"/>
      <c r="F58" s="189"/>
      <c r="G58" s="190"/>
      <c r="H58" s="189"/>
      <c r="I58" s="189"/>
      <c r="J58" s="189"/>
      <c r="K58" s="190"/>
      <c r="L58" s="189"/>
      <c r="M58" s="189"/>
      <c r="N58" s="189"/>
      <c r="O58" s="190"/>
      <c r="P58" s="189"/>
      <c r="Q58" s="189"/>
      <c r="R58" s="189"/>
      <c r="S58" s="190"/>
      <c r="T58" s="189"/>
      <c r="U58" s="189"/>
      <c r="V58" s="189"/>
      <c r="W58" s="190"/>
    </row>
    <row r="59" spans="1:23">
      <c r="B59" s="179" t="s">
        <v>58</v>
      </c>
      <c r="D59" s="189">
        <v>90512094184</v>
      </c>
      <c r="E59" s="189">
        <v>87038621576</v>
      </c>
      <c r="F59" s="189">
        <v>89110656883</v>
      </c>
      <c r="G59" s="190">
        <v>64816994246</v>
      </c>
      <c r="H59" s="189">
        <v>43998830082</v>
      </c>
      <c r="I59" s="189">
        <v>44128424059</v>
      </c>
      <c r="J59" s="189">
        <v>43800608233</v>
      </c>
      <c r="K59" s="190">
        <v>42602225466</v>
      </c>
      <c r="L59" s="192">
        <v>45888187087</v>
      </c>
      <c r="M59" s="192">
        <v>40445451657</v>
      </c>
      <c r="N59" s="192">
        <v>47565700959</v>
      </c>
      <c r="O59" s="190">
        <v>45210701607</v>
      </c>
      <c r="P59" s="189">
        <v>48257279992</v>
      </c>
      <c r="Q59" s="189">
        <v>50807014549</v>
      </c>
      <c r="R59" s="189">
        <v>53416586200</v>
      </c>
      <c r="S59" s="190">
        <v>38060513446</v>
      </c>
      <c r="T59" s="189">
        <v>39933411517</v>
      </c>
      <c r="U59" s="189">
        <v>46815895501</v>
      </c>
      <c r="V59" s="189">
        <v>47807011082</v>
      </c>
      <c r="W59" s="189">
        <v>38973220117</v>
      </c>
    </row>
    <row r="60" spans="1:23">
      <c r="B60" s="179" t="s">
        <v>59</v>
      </c>
      <c r="D60" s="189">
        <v>83169177377</v>
      </c>
      <c r="E60" s="189">
        <v>153518542424</v>
      </c>
      <c r="F60" s="189">
        <v>65647131831</v>
      </c>
      <c r="G60" s="190">
        <v>111678713109</v>
      </c>
      <c r="H60" s="189">
        <v>176008161881</v>
      </c>
      <c r="I60" s="189">
        <v>155446540083</v>
      </c>
      <c r="J60" s="189">
        <v>162621021985</v>
      </c>
      <c r="K60" s="190">
        <v>141011386027</v>
      </c>
      <c r="L60" s="192">
        <v>162398542793</v>
      </c>
      <c r="M60" s="192">
        <v>161685797886</v>
      </c>
      <c r="N60" s="192">
        <v>159891389027</v>
      </c>
      <c r="O60" s="190">
        <v>156558710680</v>
      </c>
      <c r="P60" s="189">
        <v>156119739974</v>
      </c>
      <c r="Q60" s="189">
        <v>157025256855</v>
      </c>
      <c r="R60" s="189">
        <v>157483786838</v>
      </c>
      <c r="S60" s="190">
        <v>32038221267</v>
      </c>
      <c r="T60" s="189">
        <v>34285741122</v>
      </c>
      <c r="U60" s="189">
        <v>42191229207</v>
      </c>
      <c r="V60" s="189">
        <v>14921808511</v>
      </c>
      <c r="W60" s="189">
        <v>92016159190</v>
      </c>
    </row>
    <row r="61" spans="1:23" ht="17">
      <c r="B61" s="183" t="s">
        <v>57</v>
      </c>
      <c r="C61" s="183"/>
      <c r="D61" s="192">
        <v>-312794275</v>
      </c>
      <c r="E61" s="192">
        <v>-10003883226</v>
      </c>
      <c r="F61" s="192">
        <v>-5610691839</v>
      </c>
      <c r="G61" s="192">
        <v>-20296719688</v>
      </c>
      <c r="H61" s="192">
        <v>-48570726880</v>
      </c>
      <c r="I61" s="192">
        <v>15825630548</v>
      </c>
      <c r="J61" s="192">
        <v>-12144143503</v>
      </c>
      <c r="K61" s="192">
        <v>1596173871</v>
      </c>
      <c r="L61" s="192">
        <v>-7287008568</v>
      </c>
      <c r="M61" s="192">
        <v>-7384793358</v>
      </c>
      <c r="N61" s="192">
        <v>5841505089</v>
      </c>
      <c r="O61" s="192">
        <v>-911695729</v>
      </c>
      <c r="P61" s="192">
        <v>2336866684</v>
      </c>
      <c r="Q61" s="192">
        <v>-83195497</v>
      </c>
      <c r="R61" s="192">
        <v>122624404</v>
      </c>
      <c r="S61" s="192">
        <v>473613899</v>
      </c>
      <c r="T61" s="192">
        <v>3049200426</v>
      </c>
      <c r="U61" s="192">
        <v>-290926816</v>
      </c>
      <c r="V61" s="192">
        <v>-2010908227</v>
      </c>
      <c r="W61" s="192">
        <v>31161978210</v>
      </c>
    </row>
    <row r="62" spans="1:23">
      <c r="B62" s="179" t="s">
        <v>56</v>
      </c>
      <c r="D62" s="189">
        <v>358266101897</v>
      </c>
      <c r="E62" s="189">
        <v>347910575073</v>
      </c>
      <c r="F62" s="189">
        <v>343073277364</v>
      </c>
      <c r="G62" s="190">
        <v>217821047351</v>
      </c>
      <c r="H62" s="189">
        <v>192135762068</v>
      </c>
      <c r="I62" s="189">
        <v>187391865818</v>
      </c>
      <c r="J62" s="189">
        <v>182220784217</v>
      </c>
      <c r="K62" s="190">
        <v>177182837855</v>
      </c>
      <c r="L62" s="192">
        <v>178989080194</v>
      </c>
      <c r="M62" s="192">
        <v>170761499929</v>
      </c>
      <c r="N62" s="192">
        <v>174556296159</v>
      </c>
      <c r="O62" s="190">
        <v>169199466266</v>
      </c>
      <c r="P62" s="189">
        <v>170295462244</v>
      </c>
      <c r="Q62" s="189">
        <v>170627383628</v>
      </c>
      <c r="R62" s="189">
        <v>171128538015</v>
      </c>
      <c r="S62" s="190">
        <v>152312552325</v>
      </c>
      <c r="T62" s="189">
        <v>152482058968</v>
      </c>
      <c r="U62" s="189">
        <v>157218606149</v>
      </c>
      <c r="V62" s="189">
        <v>158813270826</v>
      </c>
      <c r="W62" s="189">
        <v>109860718586</v>
      </c>
    </row>
    <row r="63" spans="1:23">
      <c r="B63" s="179" t="s">
        <v>55</v>
      </c>
      <c r="D63" s="189">
        <v>166317395526</v>
      </c>
      <c r="E63" s="189">
        <v>165965751928</v>
      </c>
      <c r="F63" s="189">
        <v>166739146059</v>
      </c>
      <c r="G63" s="190">
        <v>166615624916</v>
      </c>
      <c r="H63" s="189">
        <v>189501066513</v>
      </c>
      <c r="I63" s="189">
        <v>168931539715</v>
      </c>
      <c r="J63" s="189">
        <v>175904601617</v>
      </c>
      <c r="K63" s="190">
        <v>169445987429</v>
      </c>
      <c r="L63" s="192">
        <v>178539238336</v>
      </c>
      <c r="M63" s="192">
        <v>177696451429</v>
      </c>
      <c r="N63" s="192">
        <v>175649742570</v>
      </c>
      <c r="O63" s="190">
        <v>171094237876</v>
      </c>
      <c r="P63" s="189">
        <v>169853367170</v>
      </c>
      <c r="Q63" s="189">
        <v>170268484051</v>
      </c>
      <c r="R63" s="189">
        <v>170647014034</v>
      </c>
      <c r="S63" s="190">
        <v>148741131854</v>
      </c>
      <c r="T63" s="189">
        <v>145861438071</v>
      </c>
      <c r="U63" s="189">
        <v>150888912068</v>
      </c>
      <c r="V63" s="189">
        <v>154494484972</v>
      </c>
      <c r="W63" s="189">
        <v>20269557435</v>
      </c>
    </row>
    <row r="64" spans="1:23" ht="17">
      <c r="A64" s="179">
        <v>11</v>
      </c>
      <c r="B64" s="183" t="s">
        <v>19</v>
      </c>
      <c r="C64" s="183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</row>
    <row r="65" spans="1:24">
      <c r="B65" s="179" t="s">
        <v>58</v>
      </c>
      <c r="D65" s="189">
        <v>215139696</v>
      </c>
      <c r="E65" s="189">
        <v>215139696</v>
      </c>
      <c r="F65" s="189">
        <v>218522653</v>
      </c>
      <c r="G65" s="190">
        <v>223248644</v>
      </c>
      <c r="H65" s="189">
        <v>214228730</v>
      </c>
      <c r="I65" s="189">
        <v>222940644</v>
      </c>
      <c r="J65" s="189">
        <v>223870584</v>
      </c>
      <c r="K65" s="190">
        <v>248654972</v>
      </c>
      <c r="L65" s="198">
        <v>271994253</v>
      </c>
      <c r="M65" s="199">
        <v>299299251</v>
      </c>
      <c r="N65" s="179">
        <v>346873363</v>
      </c>
      <c r="O65" s="190">
        <v>429449055</v>
      </c>
      <c r="P65" s="189">
        <v>512356544</v>
      </c>
      <c r="Q65" s="189">
        <v>576846986</v>
      </c>
      <c r="R65" s="189">
        <v>635443647</v>
      </c>
      <c r="S65" s="190">
        <v>652053930</v>
      </c>
      <c r="T65" s="189">
        <v>690486178</v>
      </c>
      <c r="U65" s="189">
        <v>588200699</v>
      </c>
      <c r="V65" s="189">
        <v>540340192</v>
      </c>
      <c r="W65" s="189">
        <v>589655846</v>
      </c>
    </row>
    <row r="66" spans="1:24">
      <c r="B66" s="179" t="s">
        <v>59</v>
      </c>
      <c r="D66" s="189">
        <v>192344484</v>
      </c>
      <c r="E66" s="189">
        <v>192344484</v>
      </c>
      <c r="F66" s="189">
        <v>182002680</v>
      </c>
      <c r="G66" s="190">
        <v>176004127</v>
      </c>
      <c r="H66" s="189">
        <v>172952722</v>
      </c>
      <c r="I66" s="189">
        <v>177337113</v>
      </c>
      <c r="J66" s="189">
        <v>171196110</v>
      </c>
      <c r="K66" s="190">
        <v>192089546</v>
      </c>
      <c r="L66" s="198">
        <v>193049071</v>
      </c>
      <c r="M66" s="199">
        <v>219390991</v>
      </c>
      <c r="N66" s="179">
        <v>230936795</v>
      </c>
      <c r="O66" s="190">
        <v>296637740</v>
      </c>
      <c r="P66" s="189">
        <v>264225456</v>
      </c>
      <c r="Q66" s="189">
        <v>331137973</v>
      </c>
      <c r="R66" s="189">
        <v>315026916</v>
      </c>
      <c r="S66" s="190">
        <v>318955610</v>
      </c>
      <c r="T66" s="189">
        <v>291292086</v>
      </c>
      <c r="U66" s="189">
        <v>282317962</v>
      </c>
      <c r="V66" s="189">
        <v>245680161</v>
      </c>
      <c r="W66" s="189">
        <v>245618976</v>
      </c>
    </row>
    <row r="67" spans="1:24" s="189" customFormat="1" ht="17">
      <c r="B67" s="191" t="s">
        <v>57</v>
      </c>
      <c r="C67" s="191"/>
      <c r="D67" s="192">
        <v>151171</v>
      </c>
      <c r="E67" s="192">
        <v>-34311063</v>
      </c>
      <c r="F67" s="192">
        <v>41404</v>
      </c>
      <c r="G67" s="192">
        <v>-26099390</v>
      </c>
      <c r="H67" s="192">
        <v>1970638</v>
      </c>
      <c r="I67" s="192">
        <v>5687037</v>
      </c>
      <c r="J67" s="192">
        <v>605781</v>
      </c>
      <c r="K67" s="192">
        <v>-10584336</v>
      </c>
      <c r="L67" s="192">
        <v>20773701</v>
      </c>
      <c r="M67" s="192">
        <v>16573935</v>
      </c>
      <c r="N67" s="192">
        <v>40561953</v>
      </c>
      <c r="O67" s="192">
        <v>61167575</v>
      </c>
      <c r="P67" s="192">
        <v>88933330</v>
      </c>
      <c r="Q67" s="192">
        <v>88092174</v>
      </c>
      <c r="R67" s="192">
        <v>85775028</v>
      </c>
      <c r="S67" s="192">
        <v>64197059</v>
      </c>
      <c r="T67" s="192">
        <v>42023044</v>
      </c>
      <c r="U67" s="192">
        <v>74955013</v>
      </c>
      <c r="V67" s="192">
        <v>92570889</v>
      </c>
      <c r="W67" s="192">
        <v>109996540</v>
      </c>
      <c r="X67" s="226"/>
    </row>
    <row r="68" spans="1:24">
      <c r="B68" s="179" t="s">
        <v>56</v>
      </c>
      <c r="D68" s="189">
        <v>594273450</v>
      </c>
      <c r="E68" s="189">
        <v>594273450</v>
      </c>
      <c r="F68" s="189">
        <v>538011927</v>
      </c>
      <c r="G68" s="190">
        <v>517225263</v>
      </c>
      <c r="H68" s="189">
        <v>500512629</v>
      </c>
      <c r="I68" s="189">
        <v>522053973</v>
      </c>
      <c r="J68" s="189">
        <v>513030159</v>
      </c>
      <c r="K68" s="190">
        <v>574144140</v>
      </c>
      <c r="L68" s="198">
        <v>586970262</v>
      </c>
      <c r="M68" s="199">
        <v>621757510</v>
      </c>
      <c r="N68" s="179">
        <v>674472830</v>
      </c>
      <c r="O68" s="190">
        <v>923398879</v>
      </c>
      <c r="P68" s="189">
        <v>829181216</v>
      </c>
      <c r="Q68" s="189">
        <v>1063560677</v>
      </c>
      <c r="R68" s="189">
        <v>1090046489</v>
      </c>
      <c r="S68" s="190">
        <v>1153416013</v>
      </c>
      <c r="T68" s="189">
        <v>1233570955</v>
      </c>
      <c r="U68" s="189">
        <v>1208720799</v>
      </c>
      <c r="V68" s="189">
        <v>1211688737</v>
      </c>
      <c r="W68" s="189">
        <v>1256963375</v>
      </c>
    </row>
    <row r="69" spans="1:24">
      <c r="B69" s="179" t="s">
        <v>55</v>
      </c>
      <c r="D69" s="189">
        <v>285703392</v>
      </c>
      <c r="E69" s="189">
        <v>285703392</v>
      </c>
      <c r="F69" s="189">
        <v>268055446</v>
      </c>
      <c r="G69" s="190">
        <v>270403389</v>
      </c>
      <c r="H69" s="189">
        <v>268393446</v>
      </c>
      <c r="I69" s="189">
        <v>273113216</v>
      </c>
      <c r="J69" s="189">
        <v>267888620</v>
      </c>
      <c r="K69" s="190">
        <v>332373687</v>
      </c>
      <c r="L69" s="198">
        <v>327511247</v>
      </c>
      <c r="M69" s="199">
        <v>349741069</v>
      </c>
      <c r="N69" s="179">
        <v>360028293</v>
      </c>
      <c r="O69" s="190">
        <v>447391043</v>
      </c>
      <c r="P69" s="189">
        <v>452918665</v>
      </c>
      <c r="Q69" s="189">
        <v>536449010</v>
      </c>
      <c r="R69" s="189">
        <v>499387011</v>
      </c>
      <c r="S69" s="190">
        <v>506933368</v>
      </c>
      <c r="T69" s="189">
        <v>538679157</v>
      </c>
      <c r="U69" s="189">
        <v>546951495</v>
      </c>
      <c r="V69" s="189">
        <v>545757657</v>
      </c>
      <c r="W69" s="189">
        <v>571449588</v>
      </c>
    </row>
    <row r="70" spans="1:24" ht="17">
      <c r="A70" s="179">
        <v>12</v>
      </c>
      <c r="B70" s="183" t="s">
        <v>20</v>
      </c>
      <c r="C70" s="183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</row>
    <row r="71" spans="1:24">
      <c r="B71" s="179" t="s">
        <v>58</v>
      </c>
      <c r="D71" s="189">
        <v>366352044</v>
      </c>
      <c r="E71" s="189">
        <v>327690066</v>
      </c>
      <c r="F71" s="189">
        <v>191324526</v>
      </c>
      <c r="G71" s="190">
        <v>209703468</v>
      </c>
      <c r="H71" s="189">
        <v>209325429</v>
      </c>
      <c r="I71" s="189">
        <v>187821679</v>
      </c>
      <c r="J71" s="189">
        <v>167147728</v>
      </c>
      <c r="K71" s="190">
        <v>160199112</v>
      </c>
      <c r="L71" s="189">
        <v>134856927</v>
      </c>
      <c r="M71" s="189">
        <v>153433995</v>
      </c>
      <c r="N71" s="189">
        <v>90570675</v>
      </c>
      <c r="O71" s="190">
        <v>81644827</v>
      </c>
      <c r="P71" s="189">
        <v>78767555</v>
      </c>
      <c r="Q71" s="189">
        <v>75667017</v>
      </c>
      <c r="R71" s="189">
        <v>68576913</v>
      </c>
      <c r="S71" s="190">
        <v>67573227</v>
      </c>
      <c r="T71" s="189">
        <v>66642205</v>
      </c>
      <c r="U71" s="189">
        <v>65799335</v>
      </c>
      <c r="V71" s="189">
        <v>64899978</v>
      </c>
      <c r="W71" s="192">
        <v>64587275</v>
      </c>
    </row>
    <row r="72" spans="1:24">
      <c r="B72" s="179" t="s">
        <v>59</v>
      </c>
      <c r="D72" s="189">
        <v>1464753673</v>
      </c>
      <c r="E72" s="189">
        <v>1041574449</v>
      </c>
      <c r="F72" s="189">
        <v>1048338730</v>
      </c>
      <c r="G72" s="190">
        <v>720977430</v>
      </c>
      <c r="H72" s="189">
        <v>681919240</v>
      </c>
      <c r="I72" s="189">
        <v>655051573</v>
      </c>
      <c r="J72" s="189">
        <v>613747175</v>
      </c>
      <c r="K72" s="190">
        <v>582958840</v>
      </c>
      <c r="L72" s="189">
        <v>113314531</v>
      </c>
      <c r="M72" s="189">
        <v>109946138</v>
      </c>
      <c r="N72" s="189">
        <v>45150712</v>
      </c>
      <c r="O72" s="190">
        <v>12916966</v>
      </c>
      <c r="P72" s="189">
        <v>10294706</v>
      </c>
      <c r="Q72" s="189">
        <v>8895387</v>
      </c>
      <c r="R72" s="189">
        <v>8774477</v>
      </c>
      <c r="S72" s="190">
        <v>10293491</v>
      </c>
      <c r="T72" s="189">
        <v>8577599</v>
      </c>
      <c r="U72" s="189">
        <v>8235258</v>
      </c>
      <c r="V72" s="189">
        <v>8270474</v>
      </c>
      <c r="W72" s="189">
        <v>8534171</v>
      </c>
    </row>
    <row r="73" spans="1:24" ht="17">
      <c r="B73" s="183" t="s">
        <v>57</v>
      </c>
      <c r="C73" s="183"/>
      <c r="D73" s="192">
        <v>-42271157</v>
      </c>
      <c r="E73" s="192">
        <v>-73684298</v>
      </c>
      <c r="F73" s="192">
        <v>-336052368</v>
      </c>
      <c r="G73" s="200">
        <v>182532365</v>
      </c>
      <c r="H73" s="192">
        <v>-32078594</v>
      </c>
      <c r="I73" s="192">
        <v>-11498512</v>
      </c>
      <c r="J73" s="192">
        <v>-9188879</v>
      </c>
      <c r="K73" s="200">
        <v>692476</v>
      </c>
      <c r="L73" s="192">
        <v>-29592916</v>
      </c>
      <c r="M73" s="192">
        <v>90304</v>
      </c>
      <c r="N73" s="192">
        <v>-3302741</v>
      </c>
      <c r="O73" s="192">
        <v>221395517</v>
      </c>
      <c r="P73" s="192">
        <v>-2639374</v>
      </c>
      <c r="Q73" s="192">
        <v>-3207315</v>
      </c>
      <c r="R73" s="192">
        <v>-7940949</v>
      </c>
      <c r="S73" s="192">
        <v>-1116070</v>
      </c>
      <c r="T73" s="192">
        <v>-1304781</v>
      </c>
      <c r="U73" s="192">
        <v>-741180</v>
      </c>
      <c r="V73" s="192">
        <v>-1085845</v>
      </c>
      <c r="W73" s="192">
        <v>3045758</v>
      </c>
    </row>
    <row r="74" spans="1:24">
      <c r="B74" s="179" t="s">
        <v>56</v>
      </c>
      <c r="D74" s="189">
        <v>1088659806</v>
      </c>
      <c r="E74" s="189">
        <v>984917527</v>
      </c>
      <c r="F74" s="189">
        <v>609476835</v>
      </c>
      <c r="G74" s="190">
        <v>479265331</v>
      </c>
      <c r="H74" s="189">
        <v>415578656</v>
      </c>
      <c r="I74" s="192">
        <v>361632969</v>
      </c>
      <c r="J74" s="189">
        <v>312896486</v>
      </c>
      <c r="K74" s="190">
        <v>243302339</v>
      </c>
      <c r="L74" s="189">
        <v>173854344</v>
      </c>
      <c r="M74" s="189">
        <v>171817971</v>
      </c>
      <c r="N74" s="189">
        <v>104103842</v>
      </c>
      <c r="O74" s="194">
        <v>91040495</v>
      </c>
      <c r="P74" s="189">
        <v>87210754</v>
      </c>
      <c r="Q74" s="189">
        <v>82589572</v>
      </c>
      <c r="R74" s="192">
        <v>74534934</v>
      </c>
      <c r="S74" s="194">
        <v>73091558</v>
      </c>
      <c r="T74" s="189">
        <v>71484820</v>
      </c>
      <c r="U74" s="192">
        <v>70501299</v>
      </c>
      <c r="V74" s="189">
        <v>69350670</v>
      </c>
      <c r="W74" s="192">
        <v>68834522</v>
      </c>
    </row>
    <row r="75" spans="1:24">
      <c r="B75" s="179" t="s">
        <v>55</v>
      </c>
      <c r="D75" s="189">
        <v>1715518054</v>
      </c>
      <c r="E75" s="189">
        <v>1285460073</v>
      </c>
      <c r="F75" s="189">
        <v>1246071749</v>
      </c>
      <c r="G75" s="190">
        <v>933327880</v>
      </c>
      <c r="H75" s="189">
        <v>901719799</v>
      </c>
      <c r="I75" s="192">
        <v>859272624</v>
      </c>
      <c r="J75" s="189">
        <v>819725020</v>
      </c>
      <c r="K75" s="190">
        <v>763628958</v>
      </c>
      <c r="L75" s="189">
        <v>315969163</v>
      </c>
      <c r="M75" s="189">
        <v>313842486</v>
      </c>
      <c r="N75" s="189">
        <v>249431098</v>
      </c>
      <c r="O75" s="194">
        <v>14972234</v>
      </c>
      <c r="P75" s="189">
        <v>13781867</v>
      </c>
      <c r="Q75" s="189">
        <v>12368000</v>
      </c>
      <c r="R75" s="192">
        <v>12254311</v>
      </c>
      <c r="S75" s="194">
        <v>11664497</v>
      </c>
      <c r="T75" s="189">
        <v>11362540</v>
      </c>
      <c r="U75" s="192">
        <v>11120199</v>
      </c>
      <c r="V75" s="189">
        <v>11055415</v>
      </c>
      <c r="W75" s="192">
        <v>11543042</v>
      </c>
    </row>
    <row r="76" spans="1:24" ht="17">
      <c r="A76" s="179">
        <v>13</v>
      </c>
      <c r="B76" s="183" t="s">
        <v>21</v>
      </c>
      <c r="C76" s="183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</row>
    <row r="77" spans="1:24">
      <c r="B77" s="179" t="s">
        <v>58</v>
      </c>
      <c r="D77" s="189">
        <v>518945</v>
      </c>
      <c r="E77" s="189">
        <v>518945</v>
      </c>
      <c r="F77" s="189">
        <v>518945</v>
      </c>
      <c r="G77" s="190">
        <v>518945</v>
      </c>
      <c r="H77" s="189">
        <v>56836</v>
      </c>
      <c r="I77" s="189">
        <v>538184</v>
      </c>
      <c r="J77" s="189">
        <v>375671</v>
      </c>
      <c r="K77" s="190">
        <v>410184</v>
      </c>
      <c r="L77" s="192">
        <v>430544</v>
      </c>
      <c r="M77" s="195">
        <v>781657</v>
      </c>
      <c r="N77" s="192">
        <v>739121</v>
      </c>
      <c r="O77" s="190">
        <v>1138374</v>
      </c>
      <c r="P77" s="189">
        <v>1457137</v>
      </c>
      <c r="Q77" s="189">
        <v>1457137</v>
      </c>
      <c r="R77" s="189">
        <v>1428919</v>
      </c>
      <c r="S77" s="190">
        <v>1779346</v>
      </c>
      <c r="T77" s="189">
        <v>1543683</v>
      </c>
      <c r="U77" s="189">
        <v>1338757</v>
      </c>
      <c r="V77" s="189">
        <v>1579413</v>
      </c>
      <c r="W77" s="189">
        <v>1408633</v>
      </c>
    </row>
    <row r="78" spans="1:24">
      <c r="B78" s="179" t="s">
        <v>59</v>
      </c>
      <c r="D78" s="189">
        <v>982059</v>
      </c>
      <c r="E78" s="189">
        <v>982059</v>
      </c>
      <c r="F78" s="189">
        <v>982059</v>
      </c>
      <c r="G78" s="190">
        <v>982059</v>
      </c>
      <c r="H78" s="189">
        <v>1136606</v>
      </c>
      <c r="I78" s="189">
        <v>844972</v>
      </c>
      <c r="J78" s="189">
        <v>726247</v>
      </c>
      <c r="K78" s="190">
        <v>902798</v>
      </c>
      <c r="L78" s="192">
        <v>994179</v>
      </c>
      <c r="M78" s="195">
        <v>922024</v>
      </c>
      <c r="N78" s="192">
        <v>849864</v>
      </c>
      <c r="O78" s="190">
        <v>997061</v>
      </c>
      <c r="P78" s="189">
        <v>1009001</v>
      </c>
      <c r="Q78" s="189">
        <v>1009001</v>
      </c>
      <c r="R78" s="189">
        <v>585436</v>
      </c>
      <c r="S78" s="190">
        <v>1009798</v>
      </c>
      <c r="T78" s="189">
        <v>666374</v>
      </c>
      <c r="U78" s="189">
        <v>658009</v>
      </c>
      <c r="V78" s="189">
        <v>649225</v>
      </c>
      <c r="W78" s="189">
        <v>635497</v>
      </c>
    </row>
    <row r="79" spans="1:24" ht="17">
      <c r="B79" s="183" t="s">
        <v>57</v>
      </c>
      <c r="C79" s="183"/>
      <c r="D79" s="192">
        <v>42322</v>
      </c>
      <c r="E79" s="192">
        <v>34856</v>
      </c>
      <c r="F79" s="192">
        <v>-67069</v>
      </c>
      <c r="G79" s="192">
        <v>90506</v>
      </c>
      <c r="H79" s="192">
        <v>5174</v>
      </c>
      <c r="I79" s="192">
        <v>37123</v>
      </c>
      <c r="J79" s="192">
        <v>-36989</v>
      </c>
      <c r="K79" s="192">
        <v>46906</v>
      </c>
      <c r="L79" s="192">
        <v>28833</v>
      </c>
      <c r="M79" s="192">
        <v>657924</v>
      </c>
      <c r="N79" s="192">
        <v>-624432</v>
      </c>
      <c r="O79" s="192">
        <v>635296</v>
      </c>
      <c r="P79" s="192">
        <v>357353</v>
      </c>
      <c r="Q79" s="192">
        <v>-46504</v>
      </c>
      <c r="R79" s="192">
        <v>750519</v>
      </c>
      <c r="S79" s="192">
        <v>352450</v>
      </c>
      <c r="T79" s="192">
        <v>271283</v>
      </c>
      <c r="U79" s="192">
        <v>-229488</v>
      </c>
      <c r="V79" s="192">
        <v>619200</v>
      </c>
      <c r="W79" s="192">
        <v>153767</v>
      </c>
    </row>
    <row r="80" spans="1:24">
      <c r="B80" s="179" t="s">
        <v>56</v>
      </c>
      <c r="D80" s="189">
        <v>3266155</v>
      </c>
      <c r="E80" s="189">
        <v>3266155</v>
      </c>
      <c r="F80" s="189">
        <v>3266155</v>
      </c>
      <c r="G80" s="190">
        <v>3266155</v>
      </c>
      <c r="H80" s="189">
        <v>3488787</v>
      </c>
      <c r="I80" s="189">
        <v>3433671</v>
      </c>
      <c r="J80" s="189">
        <v>3374865</v>
      </c>
      <c r="K80" s="190">
        <v>3837040</v>
      </c>
      <c r="L80" s="192">
        <v>4018710</v>
      </c>
      <c r="M80" s="195">
        <v>4059964</v>
      </c>
      <c r="N80" s="192">
        <v>3963536</v>
      </c>
      <c r="O80" s="190">
        <v>4051811</v>
      </c>
      <c r="P80" s="189">
        <v>4301281</v>
      </c>
      <c r="Q80" s="189">
        <v>4301281</v>
      </c>
      <c r="R80" s="189">
        <v>4184596</v>
      </c>
      <c r="S80" s="190">
        <v>4403862</v>
      </c>
      <c r="T80" s="189">
        <v>4239021</v>
      </c>
      <c r="U80" s="189">
        <v>3847359</v>
      </c>
      <c r="V80" s="189">
        <v>3999582</v>
      </c>
      <c r="W80" s="189">
        <v>4068706</v>
      </c>
    </row>
    <row r="81" spans="1:23">
      <c r="B81" s="179" t="s">
        <v>55</v>
      </c>
      <c r="D81" s="189">
        <v>2082998</v>
      </c>
      <c r="E81" s="189">
        <v>2082998</v>
      </c>
      <c r="F81" s="189">
        <v>2082998</v>
      </c>
      <c r="G81" s="190">
        <v>2082998</v>
      </c>
      <c r="H81" s="189">
        <v>2287170</v>
      </c>
      <c r="I81" s="189">
        <v>2215473</v>
      </c>
      <c r="J81" s="189">
        <v>2194058</v>
      </c>
      <c r="K81" s="190">
        <v>2626095</v>
      </c>
      <c r="L81" s="192">
        <v>2758207</v>
      </c>
      <c r="M81" s="195">
        <v>2537860</v>
      </c>
      <c r="N81" s="192">
        <v>2379331</v>
      </c>
      <c r="O81" s="190">
        <v>2509761</v>
      </c>
      <c r="P81" s="189">
        <v>2427069</v>
      </c>
      <c r="Q81" s="189">
        <v>2427069</v>
      </c>
      <c r="R81" s="189">
        <v>1933906</v>
      </c>
      <c r="S81" s="190">
        <v>2178316</v>
      </c>
      <c r="T81" s="189">
        <v>1737601</v>
      </c>
      <c r="U81" s="189">
        <v>1653876</v>
      </c>
      <c r="V81" s="189">
        <v>1563054</v>
      </c>
      <c r="W81" s="189">
        <v>1485662</v>
      </c>
    </row>
    <row r="82" spans="1:23" ht="17">
      <c r="A82" s="179">
        <v>14</v>
      </c>
      <c r="B82" s="183" t="s">
        <v>22</v>
      </c>
      <c r="C82" s="183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</row>
    <row r="83" spans="1:23">
      <c r="B83" s="179" t="s">
        <v>58</v>
      </c>
      <c r="D83" s="189">
        <v>23520460228</v>
      </c>
      <c r="E83" s="189">
        <v>24488635966</v>
      </c>
      <c r="F83" s="189">
        <v>24354715022</v>
      </c>
      <c r="G83" s="190">
        <v>20607998968</v>
      </c>
      <c r="H83" s="189">
        <v>17404745786</v>
      </c>
      <c r="I83" s="189">
        <v>14097482933</v>
      </c>
      <c r="J83" s="189">
        <v>12465552590</v>
      </c>
      <c r="K83" s="190">
        <v>11358991009</v>
      </c>
      <c r="L83" s="192">
        <v>10923562181</v>
      </c>
      <c r="M83" s="192">
        <v>12093336708</v>
      </c>
      <c r="N83" s="192">
        <v>12890245506</v>
      </c>
      <c r="O83" s="190">
        <v>12590158246</v>
      </c>
      <c r="P83" s="189">
        <v>18979589092</v>
      </c>
      <c r="Q83" s="189">
        <v>21324176222</v>
      </c>
      <c r="R83" s="189">
        <v>75094697704</v>
      </c>
      <c r="S83" s="190">
        <v>45931247539</v>
      </c>
      <c r="T83" s="189">
        <v>43688708439</v>
      </c>
      <c r="U83" s="189">
        <v>45710873390</v>
      </c>
      <c r="V83" s="189">
        <v>45187576755</v>
      </c>
      <c r="W83" s="189">
        <v>103549455692</v>
      </c>
    </row>
    <row r="84" spans="1:23">
      <c r="B84" s="179" t="s">
        <v>59</v>
      </c>
      <c r="D84" s="189">
        <v>58272512994</v>
      </c>
      <c r="E84" s="189">
        <v>57828341782</v>
      </c>
      <c r="F84" s="189">
        <v>54615868831</v>
      </c>
      <c r="G84" s="190">
        <v>39953268587</v>
      </c>
      <c r="H84" s="189">
        <v>40997060569</v>
      </c>
      <c r="I84" s="189">
        <v>29217863979</v>
      </c>
      <c r="J84" s="189">
        <v>32208809611</v>
      </c>
      <c r="K84" s="190">
        <v>30824345288</v>
      </c>
      <c r="L84" s="192">
        <v>32985412682</v>
      </c>
      <c r="M84" s="192">
        <v>27202691576</v>
      </c>
      <c r="N84" s="192">
        <v>29805815574</v>
      </c>
      <c r="O84" s="190">
        <v>29778574564</v>
      </c>
      <c r="P84" s="189">
        <v>22912541742</v>
      </c>
      <c r="Q84" s="189">
        <v>20642971666</v>
      </c>
      <c r="R84" s="189">
        <v>23345000720</v>
      </c>
      <c r="S84" s="190">
        <v>29889169581</v>
      </c>
      <c r="T84" s="189">
        <v>31128798580</v>
      </c>
      <c r="U84" s="189">
        <v>33338411453</v>
      </c>
      <c r="V84" s="189">
        <v>34496153059</v>
      </c>
      <c r="W84" s="189">
        <v>35656490790</v>
      </c>
    </row>
    <row r="85" spans="1:23" ht="17">
      <c r="B85" s="183" t="s">
        <v>57</v>
      </c>
      <c r="C85" s="183"/>
      <c r="D85" s="192">
        <v>2243948403</v>
      </c>
      <c r="E85" s="192">
        <v>2795681000</v>
      </c>
      <c r="F85" s="192">
        <v>1801781210</v>
      </c>
      <c r="G85" s="192">
        <v>-2322450878</v>
      </c>
      <c r="H85" s="192">
        <v>-9769213728</v>
      </c>
      <c r="I85" s="192">
        <v>-13376415094</v>
      </c>
      <c r="J85" s="192">
        <v>-5866713807</v>
      </c>
      <c r="K85" s="192">
        <v>-4589138038</v>
      </c>
      <c r="L85" s="192">
        <v>-3764535196</v>
      </c>
      <c r="M85" s="192">
        <v>-2895582778</v>
      </c>
      <c r="N85" s="192">
        <v>-4318122085</v>
      </c>
      <c r="O85" s="192">
        <v>1355564004</v>
      </c>
      <c r="P85" s="192">
        <v>1532922217</v>
      </c>
      <c r="Q85" s="192">
        <v>4531454845</v>
      </c>
      <c r="R85" s="192">
        <v>5936654935</v>
      </c>
      <c r="S85" s="192">
        <v>7937486191</v>
      </c>
      <c r="T85" s="192">
        <v>5169299510</v>
      </c>
      <c r="U85" s="192">
        <v>8694569246</v>
      </c>
      <c r="V85" s="192">
        <v>8500465750</v>
      </c>
      <c r="W85" s="192">
        <v>9373292235</v>
      </c>
    </row>
    <row r="86" spans="1:23">
      <c r="B86" s="179" t="s">
        <v>56</v>
      </c>
      <c r="D86" s="189">
        <v>328223775258</v>
      </c>
      <c r="E86" s="189">
        <v>325500985535</v>
      </c>
      <c r="F86" s="189">
        <v>316517069429</v>
      </c>
      <c r="G86" s="190">
        <v>269602629189</v>
      </c>
      <c r="H86" s="189">
        <v>254178860961</v>
      </c>
      <c r="I86" s="189">
        <v>237170964683</v>
      </c>
      <c r="J86" s="189">
        <v>231261069041</v>
      </c>
      <c r="K86" s="190">
        <v>220884904490</v>
      </c>
      <c r="L86" s="192">
        <v>217847486480</v>
      </c>
      <c r="M86" s="192">
        <v>213359521791</v>
      </c>
      <c r="N86" s="192">
        <v>206732546453</v>
      </c>
      <c r="O86" s="190">
        <v>222474205879</v>
      </c>
      <c r="P86" s="189">
        <v>218732954418</v>
      </c>
      <c r="Q86" s="189">
        <v>220967901338</v>
      </c>
      <c r="R86" s="189">
        <v>280518560943</v>
      </c>
      <c r="S86" s="190">
        <v>291613017757</v>
      </c>
      <c r="T86" s="189">
        <v>301064481640</v>
      </c>
      <c r="U86" s="189">
        <v>323070321700</v>
      </c>
      <c r="V86" s="189">
        <v>338041651311</v>
      </c>
      <c r="W86" s="189">
        <v>248269463334</v>
      </c>
    </row>
    <row r="87" spans="1:23">
      <c r="B87" s="179" t="s">
        <v>55</v>
      </c>
      <c r="D87" s="189">
        <v>173078374555</v>
      </c>
      <c r="E87" s="189">
        <v>167575648415</v>
      </c>
      <c r="F87" s="189">
        <v>156809951099</v>
      </c>
      <c r="G87" s="190">
        <v>117734528422</v>
      </c>
      <c r="H87" s="189">
        <v>112105093922</v>
      </c>
      <c r="I87" s="189">
        <v>108493612738</v>
      </c>
      <c r="J87" s="189">
        <v>108696060903</v>
      </c>
      <c r="K87" s="190">
        <v>102887883668</v>
      </c>
      <c r="L87" s="192">
        <v>103711269054</v>
      </c>
      <c r="M87" s="192">
        <v>102215155347</v>
      </c>
      <c r="N87" s="192">
        <v>99830165696</v>
      </c>
      <c r="O87" s="190">
        <v>113973603428</v>
      </c>
      <c r="P87" s="189">
        <v>108714429750</v>
      </c>
      <c r="Q87" s="189">
        <v>106442921825</v>
      </c>
      <c r="R87" s="189">
        <v>91896366037</v>
      </c>
      <c r="S87" s="190">
        <v>94883159550</v>
      </c>
      <c r="T87" s="189">
        <v>99177323923</v>
      </c>
      <c r="U87" s="189">
        <v>112501126100</v>
      </c>
      <c r="V87" s="189">
        <v>118984165280</v>
      </c>
      <c r="W87" s="189">
        <v>123678293667</v>
      </c>
    </row>
    <row r="88" spans="1:23" ht="17">
      <c r="A88" s="179">
        <v>15</v>
      </c>
      <c r="B88" s="183" t="s">
        <v>23</v>
      </c>
      <c r="C88" s="183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</row>
    <row r="89" spans="1:23">
      <c r="B89" s="179" t="s">
        <v>58</v>
      </c>
      <c r="D89" s="189">
        <v>96223351510</v>
      </c>
      <c r="E89" s="189">
        <v>96223351510</v>
      </c>
      <c r="F89" s="189">
        <v>96223351510</v>
      </c>
      <c r="G89" s="190">
        <v>83695056368</v>
      </c>
      <c r="H89" s="189">
        <v>39468087741</v>
      </c>
      <c r="I89" s="189">
        <v>22253729814</v>
      </c>
      <c r="J89" s="186">
        <v>108930820117</v>
      </c>
      <c r="K89" s="190">
        <v>147384406503</v>
      </c>
      <c r="L89" s="192">
        <v>157577594436</v>
      </c>
      <c r="M89" s="192">
        <v>175556001495</v>
      </c>
      <c r="N89" s="192">
        <v>108767022800</v>
      </c>
      <c r="O89" s="190">
        <v>107007105513</v>
      </c>
      <c r="P89" s="189">
        <v>99725822616</v>
      </c>
      <c r="Q89" s="189">
        <v>105383221755</v>
      </c>
      <c r="R89" s="189">
        <v>115377384026</v>
      </c>
      <c r="S89" s="190">
        <v>57865831534</v>
      </c>
      <c r="T89" s="189">
        <v>27615629932</v>
      </c>
      <c r="U89" s="189">
        <v>34467308929</v>
      </c>
      <c r="V89" s="189">
        <v>30536790460</v>
      </c>
      <c r="W89" s="189">
        <v>45125618315</v>
      </c>
    </row>
    <row r="90" spans="1:23">
      <c r="B90" s="179" t="s">
        <v>59</v>
      </c>
      <c r="D90" s="189">
        <v>107486819180</v>
      </c>
      <c r="E90" s="189">
        <v>107486819180</v>
      </c>
      <c r="F90" s="189">
        <v>107486819180</v>
      </c>
      <c r="G90" s="190">
        <v>49378265088</v>
      </c>
      <c r="H90" s="189">
        <v>27302873729</v>
      </c>
      <c r="I90" s="189">
        <v>46090340282</v>
      </c>
      <c r="J90" s="186">
        <v>90492009645</v>
      </c>
      <c r="K90" s="190">
        <v>133722885753</v>
      </c>
      <c r="L90" s="192">
        <v>137284687551</v>
      </c>
      <c r="M90" s="192">
        <v>162157579563</v>
      </c>
      <c r="N90" s="192">
        <v>92138814744</v>
      </c>
      <c r="O90" s="190">
        <v>104231114388</v>
      </c>
      <c r="P90" s="189">
        <v>99954107765</v>
      </c>
      <c r="Q90" s="189">
        <v>96549706574</v>
      </c>
      <c r="R90" s="189">
        <v>99543393030</v>
      </c>
      <c r="S90" s="190">
        <v>117564570959</v>
      </c>
      <c r="T90" s="189">
        <v>101558544929</v>
      </c>
      <c r="U90" s="189">
        <v>103041203013</v>
      </c>
      <c r="V90" s="189">
        <v>94596552060</v>
      </c>
      <c r="W90" s="189">
        <v>147237670193</v>
      </c>
    </row>
    <row r="91" spans="1:23" ht="17">
      <c r="B91" s="183" t="s">
        <v>57</v>
      </c>
      <c r="C91" s="183"/>
      <c r="D91" s="192">
        <v>493752049</v>
      </c>
      <c r="E91" s="192">
        <v>2033347712</v>
      </c>
      <c r="F91" s="192">
        <v>5325662218</v>
      </c>
      <c r="G91" s="192">
        <v>14334200560</v>
      </c>
      <c r="H91" s="192">
        <v>259047149</v>
      </c>
      <c r="I91" s="192">
        <v>12299803</v>
      </c>
      <c r="J91" s="192">
        <v>2786788209</v>
      </c>
      <c r="K91" s="192">
        <v>3559981925</v>
      </c>
      <c r="L91" s="192">
        <v>461601837</v>
      </c>
      <c r="M91" s="192">
        <v>-310766093</v>
      </c>
      <c r="N91" s="192">
        <v>2583349123</v>
      </c>
      <c r="O91" s="192">
        <v>716649065</v>
      </c>
      <c r="P91" s="192">
        <v>209025263</v>
      </c>
      <c r="Q91" s="192">
        <v>105188689</v>
      </c>
      <c r="R91" s="192">
        <v>1102756706</v>
      </c>
      <c r="S91" s="192">
        <v>-87530806956</v>
      </c>
      <c r="T91" s="192">
        <v>-13915023854</v>
      </c>
      <c r="U91" s="192">
        <v>2853186753</v>
      </c>
      <c r="V91" s="192">
        <v>-338537615</v>
      </c>
      <c r="W91" s="192">
        <v>12064105851</v>
      </c>
    </row>
    <row r="92" spans="1:23">
      <c r="B92" s="179" t="s">
        <v>56</v>
      </c>
      <c r="D92" s="189">
        <v>246040252659</v>
      </c>
      <c r="E92" s="189">
        <v>246040252659</v>
      </c>
      <c r="F92" s="189">
        <v>246040252659</v>
      </c>
      <c r="G92" s="190">
        <v>193198983272</v>
      </c>
      <c r="H92" s="189">
        <v>171454943789</v>
      </c>
      <c r="I92" s="189">
        <v>191277895846</v>
      </c>
      <c r="J92" s="186">
        <v>236625122221</v>
      </c>
      <c r="K92" s="190">
        <v>335775952688</v>
      </c>
      <c r="L92" s="192">
        <v>345414738738</v>
      </c>
      <c r="M92" s="192">
        <v>370032418875</v>
      </c>
      <c r="N92" s="192">
        <v>302472673949</v>
      </c>
      <c r="O92" s="190">
        <v>301477751273</v>
      </c>
      <c r="P92" s="189">
        <v>297279229584</v>
      </c>
      <c r="Q92" s="189">
        <v>293980017081</v>
      </c>
      <c r="R92" s="189">
        <v>298114932374</v>
      </c>
      <c r="S92" s="190">
        <v>226862555471</v>
      </c>
      <c r="T92" s="189">
        <v>197012315499</v>
      </c>
      <c r="U92" s="189">
        <v>201348160354</v>
      </c>
      <c r="V92" s="189">
        <v>192783370990</v>
      </c>
      <c r="W92" s="189">
        <v>204597530054</v>
      </c>
    </row>
    <row r="93" spans="1:23">
      <c r="B93" s="179" t="s">
        <v>55</v>
      </c>
      <c r="D93" s="189">
        <v>134906277650</v>
      </c>
      <c r="E93" s="189">
        <v>134906277650</v>
      </c>
      <c r="F93" s="189">
        <v>134906277650</v>
      </c>
      <c r="G93" s="190">
        <v>67743589307</v>
      </c>
      <c r="H93" s="189">
        <v>45738705443</v>
      </c>
      <c r="I93" s="189">
        <v>65547558466</v>
      </c>
      <c r="J93" s="186">
        <v>108106200899</v>
      </c>
      <c r="K93" s="190">
        <v>203647281067</v>
      </c>
      <c r="L93" s="192">
        <v>207277857877</v>
      </c>
      <c r="M93" s="192">
        <v>232206304106</v>
      </c>
      <c r="N93" s="192">
        <v>162063210058</v>
      </c>
      <c r="O93" s="190">
        <v>160316617953</v>
      </c>
      <c r="P93" s="189">
        <v>155908921595</v>
      </c>
      <c r="Q93" s="189">
        <v>152504520404</v>
      </c>
      <c r="R93" s="189">
        <v>155498206860</v>
      </c>
      <c r="S93" s="190">
        <v>171960549752</v>
      </c>
      <c r="T93" s="189">
        <v>156025333634</v>
      </c>
      <c r="U93" s="189">
        <v>157507991736</v>
      </c>
      <c r="V93" s="189">
        <v>149281739987</v>
      </c>
      <c r="W93" s="189">
        <v>149026095629</v>
      </c>
    </row>
    <row r="94" spans="1:23" ht="17">
      <c r="A94" s="179">
        <v>16</v>
      </c>
      <c r="B94" s="183" t="s">
        <v>24</v>
      </c>
      <c r="C94" s="183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</row>
    <row r="95" spans="1:23">
      <c r="B95" s="179" t="s">
        <v>58</v>
      </c>
      <c r="D95" s="189">
        <v>13051403864</v>
      </c>
      <c r="E95" s="189">
        <v>13051403864</v>
      </c>
      <c r="F95" s="189">
        <v>13051403864</v>
      </c>
      <c r="G95" s="190">
        <v>16320043246</v>
      </c>
      <c r="H95" s="189">
        <v>14635035085</v>
      </c>
      <c r="I95" s="189">
        <v>9951705195</v>
      </c>
      <c r="J95" s="189">
        <v>11709321741</v>
      </c>
      <c r="K95" s="190">
        <v>10950372543</v>
      </c>
      <c r="L95" s="192">
        <v>9914598913</v>
      </c>
      <c r="M95" s="192">
        <v>7907588595</v>
      </c>
      <c r="N95" s="192">
        <v>9533863265</v>
      </c>
      <c r="O95" s="190">
        <v>7315713528</v>
      </c>
      <c r="P95" s="189">
        <v>8289231135</v>
      </c>
      <c r="Q95" s="189">
        <v>7274941444</v>
      </c>
      <c r="R95" s="189">
        <v>9329296573</v>
      </c>
      <c r="S95" s="190">
        <v>8509512704</v>
      </c>
      <c r="T95" s="189">
        <v>9193342256</v>
      </c>
      <c r="U95" s="189">
        <v>10200478628</v>
      </c>
      <c r="V95" s="189">
        <v>10416064151</v>
      </c>
      <c r="W95" s="189">
        <v>9705102526</v>
      </c>
    </row>
    <row r="96" spans="1:23">
      <c r="B96" s="179" t="s">
        <v>59</v>
      </c>
      <c r="D96" s="189">
        <v>15077773094</v>
      </c>
      <c r="E96" s="189">
        <v>15077773094</v>
      </c>
      <c r="F96" s="189">
        <v>15077773094</v>
      </c>
      <c r="G96" s="190">
        <v>14420323854</v>
      </c>
      <c r="H96" s="189">
        <v>19053276134</v>
      </c>
      <c r="I96" s="189">
        <v>16759237809</v>
      </c>
      <c r="J96" s="189">
        <v>16715489387</v>
      </c>
      <c r="K96" s="190">
        <v>16591014668</v>
      </c>
      <c r="L96" s="192">
        <v>16838976222</v>
      </c>
      <c r="M96" s="192">
        <v>14771204885</v>
      </c>
      <c r="N96" s="192">
        <v>13042521284</v>
      </c>
      <c r="O96" s="190">
        <v>11305872300</v>
      </c>
      <c r="P96" s="189">
        <v>11100908798</v>
      </c>
      <c r="Q96" s="189">
        <v>10692067039</v>
      </c>
      <c r="R96" s="189">
        <v>10435776008</v>
      </c>
      <c r="S96" s="190">
        <v>1032178898</v>
      </c>
      <c r="T96" s="189">
        <v>10510882199</v>
      </c>
      <c r="U96" s="189">
        <v>10579687705</v>
      </c>
      <c r="V96" s="189">
        <v>9312696471</v>
      </c>
      <c r="W96" s="189">
        <v>8318044368</v>
      </c>
    </row>
    <row r="97" spans="1:23" ht="17">
      <c r="B97" s="183" t="s">
        <v>57</v>
      </c>
      <c r="C97" s="183"/>
      <c r="D97" s="192">
        <v>9844734790</v>
      </c>
      <c r="E97" s="192">
        <v>10315538624</v>
      </c>
      <c r="F97" s="192">
        <v>12837288726</v>
      </c>
      <c r="G97" s="194">
        <v>16807453516</v>
      </c>
      <c r="H97" s="192">
        <v>12016224755</v>
      </c>
      <c r="I97" s="192">
        <v>6174910219</v>
      </c>
      <c r="J97" s="192">
        <v>12427632654</v>
      </c>
      <c r="K97" s="194">
        <v>12221038334</v>
      </c>
      <c r="L97" s="192">
        <v>11083476289</v>
      </c>
      <c r="M97" s="192">
        <v>8830097220</v>
      </c>
      <c r="N97" s="192">
        <v>10166015374</v>
      </c>
      <c r="O97" s="194">
        <v>9526633765</v>
      </c>
      <c r="P97" s="192">
        <v>10087170243</v>
      </c>
      <c r="Q97" s="192">
        <v>8435028214</v>
      </c>
      <c r="R97" s="192">
        <v>9967232742</v>
      </c>
      <c r="S97" s="194">
        <v>10326395394</v>
      </c>
      <c r="T97" s="192">
        <v>10485674585</v>
      </c>
      <c r="U97" s="192">
        <v>10064533039</v>
      </c>
      <c r="V97" s="192">
        <v>12775536871</v>
      </c>
      <c r="W97" s="192">
        <v>10048296542</v>
      </c>
    </row>
    <row r="98" spans="1:23">
      <c r="B98" s="179" t="s">
        <v>56</v>
      </c>
      <c r="D98" s="189">
        <v>96581854206</v>
      </c>
      <c r="E98" s="189">
        <v>96581854206</v>
      </c>
      <c r="F98" s="189">
        <v>96581854206</v>
      </c>
      <c r="G98" s="190">
        <v>98890963872</v>
      </c>
      <c r="H98" s="189">
        <v>95411027136</v>
      </c>
      <c r="I98" s="189">
        <v>88924840547</v>
      </c>
      <c r="J98" s="189">
        <v>88325264385</v>
      </c>
      <c r="K98" s="190">
        <v>86141743970</v>
      </c>
      <c r="L98" s="192">
        <v>86267915779</v>
      </c>
      <c r="M98" s="192">
        <v>82509772886</v>
      </c>
      <c r="N98" s="192">
        <v>81078237927</v>
      </c>
      <c r="O98" s="190">
        <v>76740944634</v>
      </c>
      <c r="P98" s="189">
        <v>75468575800</v>
      </c>
      <c r="Q98" s="189">
        <v>73520941782</v>
      </c>
      <c r="R98" s="189">
        <v>72663096015</v>
      </c>
      <c r="S98" s="190">
        <v>70849504985</v>
      </c>
      <c r="T98" s="189">
        <v>69852278892</v>
      </c>
      <c r="U98" s="189">
        <v>69220076671</v>
      </c>
      <c r="V98" s="189">
        <v>67984024360</v>
      </c>
      <c r="W98" s="189">
        <v>65403191775</v>
      </c>
    </row>
    <row r="99" spans="1:23">
      <c r="B99" s="179" t="s">
        <v>55</v>
      </c>
      <c r="D99" s="189">
        <v>25613979359</v>
      </c>
      <c r="E99" s="189">
        <v>25613979359</v>
      </c>
      <c r="F99" s="189">
        <v>25613979359</v>
      </c>
      <c r="G99" s="190">
        <v>25916237978</v>
      </c>
      <c r="H99" s="189">
        <v>24658817089</v>
      </c>
      <c r="I99" s="189">
        <v>22770716001</v>
      </c>
      <c r="J99" s="189">
        <v>23023700314</v>
      </c>
      <c r="K99" s="190">
        <v>22650488908</v>
      </c>
      <c r="L99" s="192">
        <v>23696811506</v>
      </c>
      <c r="M99" s="192">
        <v>21950963136</v>
      </c>
      <c r="N99" s="192">
        <v>20566178759</v>
      </c>
      <c r="O99" s="190">
        <v>18063690866</v>
      </c>
      <c r="P99" s="189">
        <v>17058626876</v>
      </c>
      <c r="Q99" s="189">
        <v>16702698740</v>
      </c>
      <c r="R99" s="189">
        <v>16490574979</v>
      </c>
      <c r="S99" s="190">
        <v>16416167347</v>
      </c>
      <c r="T99" s="189">
        <v>16485846316</v>
      </c>
      <c r="U99" s="189">
        <v>16503664701</v>
      </c>
      <c r="V99" s="189">
        <v>15347896937</v>
      </c>
      <c r="W99" s="189">
        <v>14279894662</v>
      </c>
    </row>
    <row r="100" spans="1:23" ht="17">
      <c r="A100" s="179">
        <v>17</v>
      </c>
      <c r="B100" s="183" t="s">
        <v>25</v>
      </c>
      <c r="C100" s="183"/>
      <c r="D100" s="189"/>
      <c r="E100" s="189"/>
      <c r="F100" s="189"/>
      <c r="G100" s="190"/>
      <c r="H100" s="189"/>
      <c r="I100" s="189"/>
      <c r="J100" s="189"/>
      <c r="K100" s="190"/>
      <c r="L100" s="189"/>
      <c r="M100" s="189"/>
      <c r="N100" s="189"/>
      <c r="O100" s="190"/>
      <c r="P100" s="189"/>
      <c r="Q100" s="189"/>
      <c r="R100" s="189"/>
      <c r="S100" s="190"/>
      <c r="T100" s="189"/>
      <c r="U100" s="189"/>
      <c r="V100" s="189"/>
      <c r="W100" s="189"/>
    </row>
    <row r="101" spans="1:23">
      <c r="B101" s="179" t="s">
        <v>58</v>
      </c>
      <c r="D101" s="189">
        <v>45430225694</v>
      </c>
      <c r="E101" s="189">
        <v>45430225694</v>
      </c>
      <c r="F101" s="189">
        <v>44759501098</v>
      </c>
      <c r="G101" s="190">
        <v>47648161769</v>
      </c>
      <c r="H101" s="189">
        <v>49187170172</v>
      </c>
      <c r="I101" s="189">
        <v>26560064724</v>
      </c>
      <c r="J101" s="189">
        <v>23516013492</v>
      </c>
      <c r="K101" s="190">
        <v>18403211935</v>
      </c>
      <c r="L101" s="192">
        <v>18994997032</v>
      </c>
      <c r="M101" s="192">
        <v>19433955370</v>
      </c>
      <c r="N101" s="192">
        <v>19867106131</v>
      </c>
      <c r="O101" s="190">
        <v>21794024947</v>
      </c>
      <c r="P101" s="189">
        <v>20143491140</v>
      </c>
      <c r="Q101" s="189">
        <v>21368395127</v>
      </c>
      <c r="R101" s="189">
        <v>19711771606</v>
      </c>
      <c r="S101" s="190">
        <v>24378905660</v>
      </c>
      <c r="T101" s="189">
        <v>25557372743</v>
      </c>
      <c r="U101" s="189">
        <v>22776214840</v>
      </c>
      <c r="V101" s="189">
        <v>31063258313</v>
      </c>
      <c r="W101" s="189">
        <v>23125496941</v>
      </c>
    </row>
    <row r="102" spans="1:23">
      <c r="B102" s="179" t="s">
        <v>59</v>
      </c>
      <c r="D102" s="189">
        <v>4632022818</v>
      </c>
      <c r="E102" s="189">
        <v>4632022818</v>
      </c>
      <c r="F102" s="189">
        <v>3433927784</v>
      </c>
      <c r="G102" s="190">
        <v>4064900863</v>
      </c>
      <c r="H102" s="189">
        <v>3938154545</v>
      </c>
      <c r="I102" s="189">
        <v>6370345119</v>
      </c>
      <c r="J102" s="189">
        <v>4971972683</v>
      </c>
      <c r="K102" s="190">
        <v>4521806377</v>
      </c>
      <c r="L102" s="192">
        <v>4341419755</v>
      </c>
      <c r="M102" s="192">
        <v>4956610465</v>
      </c>
      <c r="N102" s="192">
        <v>4384809846</v>
      </c>
      <c r="O102" s="190">
        <v>7129662654</v>
      </c>
      <c r="P102" s="189">
        <v>5058687745</v>
      </c>
      <c r="Q102" s="189">
        <v>6427066337</v>
      </c>
      <c r="R102" s="189">
        <v>3499412872</v>
      </c>
      <c r="S102" s="190">
        <v>8972306915</v>
      </c>
      <c r="T102" s="189">
        <v>7323521856</v>
      </c>
      <c r="U102" s="189">
        <v>5306170644</v>
      </c>
      <c r="V102" s="189">
        <v>8870914328</v>
      </c>
      <c r="W102" s="189">
        <v>8353426429</v>
      </c>
    </row>
    <row r="103" spans="1:23" ht="17">
      <c r="B103" s="183" t="s">
        <v>57</v>
      </c>
      <c r="C103" s="183"/>
      <c r="D103" s="192">
        <v>-1821558630</v>
      </c>
      <c r="E103" s="192">
        <v>-701930339</v>
      </c>
      <c r="F103" s="192">
        <v>614317082</v>
      </c>
      <c r="G103" s="192">
        <v>2857211782</v>
      </c>
      <c r="H103" s="192">
        <v>-2078211203</v>
      </c>
      <c r="I103" s="192">
        <v>-4453780858</v>
      </c>
      <c r="J103" s="192">
        <v>-708255830</v>
      </c>
      <c r="K103" s="192">
        <v>-2001886971</v>
      </c>
      <c r="L103" s="192">
        <v>-903644698</v>
      </c>
      <c r="M103" s="192">
        <v>-1995788432</v>
      </c>
      <c r="N103" s="192">
        <v>-30244492</v>
      </c>
      <c r="O103" s="192">
        <v>-1999117371</v>
      </c>
      <c r="P103" s="192">
        <v>-296003270</v>
      </c>
      <c r="Q103" s="192">
        <v>-1620404307</v>
      </c>
      <c r="R103" s="192">
        <v>-674420431</v>
      </c>
      <c r="S103" s="192">
        <v>-1675449204</v>
      </c>
      <c r="T103" s="192">
        <v>-1072495333</v>
      </c>
      <c r="U103" s="192">
        <v>-655610877</v>
      </c>
      <c r="V103" s="192">
        <v>-85874818</v>
      </c>
      <c r="W103" s="192">
        <v>-1650715577</v>
      </c>
    </row>
    <row r="104" spans="1:23">
      <c r="B104" s="179" t="s">
        <v>56</v>
      </c>
      <c r="D104" s="189">
        <v>48760220153</v>
      </c>
      <c r="E104" s="189">
        <v>48760220153</v>
      </c>
      <c r="F104" s="189">
        <v>47906184902</v>
      </c>
      <c r="G104" s="190">
        <v>50990872393</v>
      </c>
      <c r="H104" s="189">
        <v>52583624519</v>
      </c>
      <c r="I104" s="189">
        <v>55505243701</v>
      </c>
      <c r="J104" s="189">
        <v>52532385369</v>
      </c>
      <c r="K104" s="190">
        <v>48076063779</v>
      </c>
      <c r="L104" s="192">
        <v>48718397286</v>
      </c>
      <c r="M104" s="192">
        <v>49224000139</v>
      </c>
      <c r="N104" s="192">
        <v>51532871918</v>
      </c>
      <c r="O104" s="190">
        <v>52442481062</v>
      </c>
      <c r="P104" s="189">
        <v>51225733399</v>
      </c>
      <c r="Q104" s="189">
        <v>52264915118</v>
      </c>
      <c r="R104" s="189">
        <v>49931349986</v>
      </c>
      <c r="S104" s="190">
        <v>53952185301</v>
      </c>
      <c r="T104" s="189">
        <v>54797891604</v>
      </c>
      <c r="U104" s="189">
        <v>52078326019</v>
      </c>
      <c r="V104" s="189">
        <v>60207877309</v>
      </c>
      <c r="W104" s="189">
        <v>53083934525</v>
      </c>
    </row>
    <row r="105" spans="1:23">
      <c r="B105" s="179" t="s">
        <v>55</v>
      </c>
      <c r="D105" s="189">
        <v>8183791013</v>
      </c>
      <c r="E105" s="189">
        <v>8183791013</v>
      </c>
      <c r="F105" s="189">
        <v>6843566255</v>
      </c>
      <c r="G105" s="190">
        <v>8786058436</v>
      </c>
      <c r="H105" s="189">
        <v>10028904245</v>
      </c>
      <c r="I105" s="189">
        <v>13034055819</v>
      </c>
      <c r="J105" s="189">
        <v>9870518680</v>
      </c>
      <c r="K105" s="190">
        <v>8136093754</v>
      </c>
      <c r="L105" s="192">
        <v>8069505108</v>
      </c>
      <c r="M105" s="192">
        <v>8796853624</v>
      </c>
      <c r="N105" s="192">
        <v>9335044138</v>
      </c>
      <c r="O105" s="190">
        <v>11300029291</v>
      </c>
      <c r="P105" s="189">
        <v>9187399344</v>
      </c>
      <c r="Q105" s="189">
        <v>10701868989</v>
      </c>
      <c r="R105" s="189">
        <v>7856841586</v>
      </c>
      <c r="S105" s="190">
        <v>10663898878</v>
      </c>
      <c r="T105" s="189">
        <v>8988232382</v>
      </c>
      <c r="U105" s="189">
        <v>6955881170</v>
      </c>
      <c r="V105" s="189">
        <v>10481329048</v>
      </c>
      <c r="W105" s="189">
        <v>9534610329</v>
      </c>
    </row>
    <row r="106" spans="1:23" ht="17">
      <c r="A106" s="179">
        <v>18</v>
      </c>
      <c r="B106" s="183" t="s">
        <v>26</v>
      </c>
      <c r="C106" s="183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</row>
    <row r="107" spans="1:23">
      <c r="B107" s="179" t="s">
        <v>58</v>
      </c>
      <c r="D107" s="189">
        <v>43393627439</v>
      </c>
      <c r="E107" s="189">
        <v>58967533338</v>
      </c>
      <c r="F107" s="189">
        <v>43377731234</v>
      </c>
      <c r="G107" s="190">
        <v>40277548078</v>
      </c>
      <c r="H107" s="189">
        <v>47303069746</v>
      </c>
      <c r="I107" s="189">
        <v>47912313762</v>
      </c>
      <c r="J107" s="189">
        <v>55036941479</v>
      </c>
      <c r="K107" s="190">
        <v>32947871930</v>
      </c>
      <c r="L107" s="192">
        <v>41773838184</v>
      </c>
      <c r="M107" s="192">
        <v>55879127876</v>
      </c>
      <c r="N107" s="192">
        <v>49153237162</v>
      </c>
      <c r="O107" s="190">
        <v>51176784882</v>
      </c>
      <c r="P107" s="189">
        <v>89876969944</v>
      </c>
      <c r="Q107" s="189">
        <v>66651773229</v>
      </c>
      <c r="R107" s="189">
        <v>81256676938</v>
      </c>
      <c r="S107" s="190">
        <v>93436162188</v>
      </c>
      <c r="T107" s="189">
        <v>231500910166</v>
      </c>
      <c r="U107" s="189">
        <v>191366185115</v>
      </c>
      <c r="V107" s="189">
        <v>200865379690</v>
      </c>
      <c r="W107" s="189">
        <v>211719868122</v>
      </c>
    </row>
    <row r="108" spans="1:23">
      <c r="B108" s="179" t="s">
        <v>59</v>
      </c>
      <c r="D108" s="189">
        <v>147667984162</v>
      </c>
      <c r="E108" s="189">
        <v>162374888273</v>
      </c>
      <c r="F108" s="189">
        <v>157322308821</v>
      </c>
      <c r="G108" s="190">
        <v>165747918407</v>
      </c>
      <c r="H108" s="189">
        <v>171399489968</v>
      </c>
      <c r="I108" s="189">
        <v>148263450691</v>
      </c>
      <c r="J108" s="189">
        <v>151208968738</v>
      </c>
      <c r="K108" s="190">
        <v>150765896036</v>
      </c>
      <c r="L108" s="192">
        <v>112199842695</v>
      </c>
      <c r="M108" s="192">
        <v>139077755438</v>
      </c>
      <c r="N108" s="192">
        <v>139207562872</v>
      </c>
      <c r="O108" s="190">
        <v>159848739818</v>
      </c>
      <c r="P108" s="189">
        <v>158526253615</v>
      </c>
      <c r="Q108" s="189">
        <v>169324543885</v>
      </c>
      <c r="R108" s="189">
        <v>195147333143</v>
      </c>
      <c r="S108" s="190">
        <v>239880153930</v>
      </c>
      <c r="T108" s="189">
        <v>216667685716</v>
      </c>
      <c r="U108" s="189">
        <v>195903838563</v>
      </c>
      <c r="V108" s="189">
        <v>219122102168</v>
      </c>
      <c r="W108" s="189">
        <v>314744991723</v>
      </c>
    </row>
    <row r="109" spans="1:23" ht="17">
      <c r="B109" s="183" t="s">
        <v>57</v>
      </c>
      <c r="C109" s="183"/>
      <c r="D109" s="192">
        <v>40706030096</v>
      </c>
      <c r="E109" s="192">
        <v>40201006277</v>
      </c>
      <c r="F109" s="192">
        <v>40147834828</v>
      </c>
      <c r="G109" s="194">
        <v>41541292570</v>
      </c>
      <c r="H109" s="192">
        <v>41695721556</v>
      </c>
      <c r="I109" s="192">
        <v>39401078623</v>
      </c>
      <c r="J109" s="192">
        <v>38629216625</v>
      </c>
      <c r="K109" s="194">
        <v>42531348645</v>
      </c>
      <c r="L109" s="192">
        <v>45453841836</v>
      </c>
      <c r="M109" s="192">
        <v>48503887012</v>
      </c>
      <c r="N109" s="192">
        <v>54817542473</v>
      </c>
      <c r="O109" s="194">
        <v>63267168010</v>
      </c>
      <c r="P109" s="192">
        <v>71108494429</v>
      </c>
      <c r="Q109" s="192">
        <v>78698717681</v>
      </c>
      <c r="R109" s="192">
        <v>89416282645</v>
      </c>
      <c r="S109" s="194">
        <v>94686443321</v>
      </c>
      <c r="T109" s="192">
        <v>108508797012</v>
      </c>
      <c r="U109" s="192">
        <v>105961448445</v>
      </c>
      <c r="V109" s="192">
        <v>111665414159</v>
      </c>
      <c r="W109" s="192">
        <v>115325745868</v>
      </c>
    </row>
    <row r="110" spans="1:23">
      <c r="B110" s="179" t="s">
        <v>56</v>
      </c>
      <c r="D110" s="189">
        <v>527283174461</v>
      </c>
      <c r="E110" s="189">
        <v>534718173088</v>
      </c>
      <c r="F110" s="189">
        <v>622111764875</v>
      </c>
      <c r="G110" s="190">
        <v>536133980207</v>
      </c>
      <c r="H110" s="189">
        <v>533203128947</v>
      </c>
      <c r="I110" s="189">
        <v>517981219736</v>
      </c>
      <c r="J110" s="189">
        <v>508609234931</v>
      </c>
      <c r="K110" s="190">
        <v>536303219831</v>
      </c>
      <c r="L110" s="192">
        <v>565012347236</v>
      </c>
      <c r="M110" s="192">
        <v>645696570142</v>
      </c>
      <c r="N110" s="192">
        <v>678064218843</v>
      </c>
      <c r="O110" s="190">
        <v>816739145113</v>
      </c>
      <c r="P110" s="189">
        <v>914964303008</v>
      </c>
      <c r="Q110" s="189">
        <v>1004420330078</v>
      </c>
      <c r="R110" s="189">
        <v>1126853145329</v>
      </c>
      <c r="S110" s="190">
        <v>1243695808964</v>
      </c>
      <c r="T110" s="189">
        <v>1415823032189</v>
      </c>
      <c r="U110" s="189">
        <v>1388266493081</v>
      </c>
      <c r="V110" s="189">
        <v>1399214294163</v>
      </c>
      <c r="W110" s="189">
        <v>1528539670473</v>
      </c>
    </row>
    <row r="111" spans="1:23">
      <c r="B111" s="179" t="s">
        <v>55</v>
      </c>
      <c r="D111" s="189">
        <v>325677737928</v>
      </c>
      <c r="E111" s="189">
        <v>322400791301</v>
      </c>
      <c r="F111" s="189">
        <v>308372168328</v>
      </c>
      <c r="G111" s="190">
        <v>317641249208</v>
      </c>
      <c r="H111" s="189">
        <v>312498633644</v>
      </c>
      <c r="I111" s="189">
        <v>296823303340</v>
      </c>
      <c r="J111" s="189">
        <v>287997843423</v>
      </c>
      <c r="K111" s="190">
        <v>311837466207</v>
      </c>
      <c r="L111" s="192">
        <v>336565484836</v>
      </c>
      <c r="M111" s="192">
        <v>413883011792</v>
      </c>
      <c r="N111" s="192">
        <v>444730616440</v>
      </c>
      <c r="O111" s="190">
        <v>572021955910</v>
      </c>
      <c r="P111" s="189">
        <v>664903404057</v>
      </c>
      <c r="Q111" s="189">
        <v>746313144560</v>
      </c>
      <c r="R111" s="189">
        <v>860314536392</v>
      </c>
      <c r="S111" s="190">
        <v>976752484348</v>
      </c>
      <c r="T111" s="189">
        <v>936466841143</v>
      </c>
      <c r="U111" s="189">
        <v>898133933633</v>
      </c>
      <c r="V111" s="189">
        <v>897346227007</v>
      </c>
      <c r="W111" s="189">
        <v>1027609201943</v>
      </c>
    </row>
    <row r="112" spans="1:23" ht="17">
      <c r="A112" s="179">
        <v>19</v>
      </c>
      <c r="B112" s="183" t="s">
        <v>27</v>
      </c>
      <c r="C112" s="183"/>
      <c r="D112" s="189"/>
      <c r="E112" s="189"/>
      <c r="F112" s="189"/>
      <c r="G112" s="190"/>
      <c r="H112" s="189"/>
      <c r="I112" s="189"/>
      <c r="J112" s="189"/>
      <c r="K112" s="190"/>
      <c r="L112" s="189"/>
      <c r="M112" s="189"/>
      <c r="N112" s="189"/>
      <c r="O112" s="190"/>
      <c r="P112" s="189"/>
      <c r="Q112" s="189"/>
      <c r="R112" s="189"/>
      <c r="S112" s="190"/>
      <c r="T112" s="189"/>
      <c r="U112" s="189"/>
      <c r="V112" s="189"/>
      <c r="W112" s="189"/>
    </row>
    <row r="113" spans="1:23">
      <c r="B113" s="179" t="s">
        <v>58</v>
      </c>
      <c r="D113" s="189">
        <v>83399009646</v>
      </c>
      <c r="E113" s="189">
        <v>87990883391</v>
      </c>
      <c r="F113" s="189">
        <v>95854686237</v>
      </c>
      <c r="G113" s="190">
        <v>123087747765</v>
      </c>
      <c r="H113" s="189">
        <v>138591892103</v>
      </c>
      <c r="I113" s="189">
        <v>156636901142</v>
      </c>
      <c r="J113" s="189">
        <v>160533231604</v>
      </c>
      <c r="K113" s="190">
        <v>167091764767</v>
      </c>
      <c r="L113" s="192">
        <v>187529792220</v>
      </c>
      <c r="M113" s="192">
        <v>184290411243</v>
      </c>
      <c r="N113" s="192">
        <v>194783648398</v>
      </c>
      <c r="O113" s="190">
        <v>189616124655</v>
      </c>
      <c r="P113" s="189">
        <v>187752812708</v>
      </c>
      <c r="Q113" s="189">
        <v>187752812708</v>
      </c>
      <c r="R113" s="189">
        <v>199155304457</v>
      </c>
      <c r="S113" s="190">
        <v>177602568021</v>
      </c>
      <c r="T113" s="189">
        <v>186730369142</v>
      </c>
      <c r="U113" s="189">
        <v>204818590300</v>
      </c>
      <c r="V113" s="189">
        <v>225607893702</v>
      </c>
      <c r="W113" s="189">
        <v>246969359016</v>
      </c>
    </row>
    <row r="114" spans="1:23">
      <c r="B114" s="179" t="s">
        <v>59</v>
      </c>
      <c r="D114" s="189">
        <v>29064037002</v>
      </c>
      <c r="E114" s="189">
        <v>15530532550</v>
      </c>
      <c r="F114" s="189">
        <v>17653708233</v>
      </c>
      <c r="G114" s="190">
        <v>31755734984</v>
      </c>
      <c r="H114" s="189">
        <v>41377822286</v>
      </c>
      <c r="I114" s="189">
        <v>51880612082</v>
      </c>
      <c r="J114" s="189">
        <v>50651498609</v>
      </c>
      <c r="K114" s="190">
        <v>58399139946</v>
      </c>
      <c r="L114" s="192">
        <v>69610135454</v>
      </c>
      <c r="M114" s="192">
        <v>69850473769</v>
      </c>
      <c r="N114" s="192">
        <v>62447473406</v>
      </c>
      <c r="O114" s="190">
        <v>61866044671</v>
      </c>
      <c r="P114" s="189">
        <v>57995797836</v>
      </c>
      <c r="Q114" s="189">
        <v>57995797836</v>
      </c>
      <c r="R114" s="189">
        <v>65504841303</v>
      </c>
      <c r="S114" s="190">
        <v>68300531644</v>
      </c>
      <c r="T114" s="189">
        <v>74582475223</v>
      </c>
      <c r="U114" s="189">
        <v>87990339397</v>
      </c>
      <c r="V114" s="189">
        <v>110485103624</v>
      </c>
      <c r="W114" s="189">
        <v>139351542784</v>
      </c>
    </row>
    <row r="115" spans="1:23" ht="17">
      <c r="B115" s="183" t="s">
        <v>57</v>
      </c>
      <c r="C115" s="183"/>
      <c r="D115" s="192">
        <v>4256632912</v>
      </c>
      <c r="E115" s="192">
        <v>8829480103</v>
      </c>
      <c r="F115" s="192">
        <v>5084400260</v>
      </c>
      <c r="G115" s="192">
        <v>21337025117</v>
      </c>
      <c r="H115" s="192">
        <v>11362050122</v>
      </c>
      <c r="I115" s="192">
        <v>6356918509</v>
      </c>
      <c r="J115" s="192">
        <v>7828016461</v>
      </c>
      <c r="K115" s="192">
        <v>5786558067</v>
      </c>
      <c r="L115" s="192">
        <v>8211174816</v>
      </c>
      <c r="M115" s="192">
        <v>9435060884</v>
      </c>
      <c r="N115" s="192">
        <v>14438854012</v>
      </c>
      <c r="O115" s="192">
        <v>12665087037</v>
      </c>
      <c r="P115" s="192">
        <v>6799357565</v>
      </c>
      <c r="Q115" s="192">
        <v>1664419361</v>
      </c>
      <c r="R115" s="192">
        <v>4812405636</v>
      </c>
      <c r="S115" s="192">
        <v>-12445068451</v>
      </c>
      <c r="T115" s="192">
        <v>331277128</v>
      </c>
      <c r="U115" s="192">
        <v>791981111</v>
      </c>
      <c r="V115" s="192">
        <v>5259085530</v>
      </c>
      <c r="W115" s="192">
        <v>1347532874</v>
      </c>
    </row>
    <row r="116" spans="1:23">
      <c r="B116" s="179" t="s">
        <v>56</v>
      </c>
      <c r="D116" s="189">
        <v>111292540585</v>
      </c>
      <c r="E116" s="189">
        <v>112364400249</v>
      </c>
      <c r="F116" s="189">
        <v>119571969191</v>
      </c>
      <c r="G116" s="190">
        <v>157166234017</v>
      </c>
      <c r="H116" s="189">
        <v>177850421441</v>
      </c>
      <c r="I116" s="189">
        <v>200042304746</v>
      </c>
      <c r="J116" s="189">
        <v>205376739446</v>
      </c>
      <c r="K116" s="190">
        <v>210419761255</v>
      </c>
      <c r="L116" s="192">
        <v>229368153924</v>
      </c>
      <c r="M116" s="192">
        <v>229816022387</v>
      </c>
      <c r="N116" s="192">
        <v>240723526074</v>
      </c>
      <c r="O116" s="190">
        <v>250767550139</v>
      </c>
      <c r="P116" s="189">
        <v>256102459393</v>
      </c>
      <c r="Q116" s="189">
        <v>256102459393</v>
      </c>
      <c r="R116" s="189">
        <v>268406633465</v>
      </c>
      <c r="S116" s="190">
        <v>249813321201</v>
      </c>
      <c r="T116" s="189">
        <v>255757216528</v>
      </c>
      <c r="U116" s="189">
        <v>269989961652</v>
      </c>
      <c r="V116" s="189">
        <v>295623751968</v>
      </c>
      <c r="W116" s="189">
        <v>324161212877</v>
      </c>
    </row>
    <row r="117" spans="1:23">
      <c r="B117" s="179" t="s">
        <v>55</v>
      </c>
      <c r="D117" s="189">
        <v>40459778411</v>
      </c>
      <c r="E117" s="189">
        <v>32701657877</v>
      </c>
      <c r="F117" s="189">
        <v>34824826660</v>
      </c>
      <c r="G117" s="190">
        <v>50346447863</v>
      </c>
      <c r="H117" s="189">
        <v>59968535165</v>
      </c>
      <c r="I117" s="189">
        <v>75471324961</v>
      </c>
      <c r="J117" s="189">
        <v>72976694704</v>
      </c>
      <c r="K117" s="190">
        <v>72437684992</v>
      </c>
      <c r="L117" s="192">
        <v>83648680500</v>
      </c>
      <c r="M117" s="192">
        <v>89522656384</v>
      </c>
      <c r="N117" s="192">
        <v>86085502774</v>
      </c>
      <c r="O117" s="190">
        <v>82857759922</v>
      </c>
      <c r="P117" s="189">
        <v>79655572617</v>
      </c>
      <c r="Q117" s="189">
        <v>79655572617</v>
      </c>
      <c r="R117" s="189">
        <v>87164616084</v>
      </c>
      <c r="S117" s="190">
        <v>80477647738</v>
      </c>
      <c r="T117" s="189">
        <v>86058138317</v>
      </c>
      <c r="U117" s="189">
        <v>99466002491</v>
      </c>
      <c r="V117" s="189">
        <v>119153919618</v>
      </c>
      <c r="W117" s="189">
        <v>147095662771</v>
      </c>
    </row>
    <row r="118" spans="1:23" ht="17">
      <c r="A118" s="179">
        <v>20</v>
      </c>
      <c r="B118" s="201" t="s">
        <v>28</v>
      </c>
      <c r="C118" s="183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</row>
    <row r="119" spans="1:23">
      <c r="B119" s="179" t="s">
        <v>58</v>
      </c>
      <c r="D119" s="189">
        <v>114850588877</v>
      </c>
      <c r="E119" s="189">
        <v>114850588877</v>
      </c>
      <c r="F119" s="189">
        <v>114850588877</v>
      </c>
      <c r="G119" s="190">
        <v>110924913091</v>
      </c>
      <c r="H119" s="189">
        <v>106541904049</v>
      </c>
      <c r="I119" s="189">
        <v>136516788305</v>
      </c>
      <c r="J119" s="189">
        <v>137322001430</v>
      </c>
      <c r="K119" s="190">
        <v>115979973335</v>
      </c>
      <c r="L119" s="192">
        <v>53489138934</v>
      </c>
      <c r="M119" s="192">
        <v>61919158245</v>
      </c>
      <c r="N119" s="192">
        <v>63785527500</v>
      </c>
      <c r="O119" s="190">
        <v>69272490998</v>
      </c>
      <c r="P119" s="189">
        <v>77802430686</v>
      </c>
      <c r="Q119" s="189">
        <v>76011579628</v>
      </c>
      <c r="R119" s="189">
        <v>5067999130</v>
      </c>
      <c r="S119" s="190">
        <v>80430936050</v>
      </c>
      <c r="T119" s="189">
        <v>77095428269</v>
      </c>
      <c r="U119" s="189">
        <v>76966477781</v>
      </c>
      <c r="V119" s="189">
        <v>73043908291</v>
      </c>
      <c r="W119" s="189">
        <v>73043908291</v>
      </c>
    </row>
    <row r="120" spans="1:23">
      <c r="B120" s="179" t="s">
        <v>59</v>
      </c>
      <c r="D120" s="189">
        <v>105612150884</v>
      </c>
      <c r="E120" s="189">
        <v>105612150884</v>
      </c>
      <c r="F120" s="189">
        <v>105612150884</v>
      </c>
      <c r="G120" s="190">
        <v>110399868528</v>
      </c>
      <c r="H120" s="189">
        <v>103725469780</v>
      </c>
      <c r="I120" s="189">
        <v>128196425969</v>
      </c>
      <c r="J120" s="189">
        <v>133861095891</v>
      </c>
      <c r="K120" s="190">
        <v>152334287682</v>
      </c>
      <c r="L120" s="192">
        <v>140652038439</v>
      </c>
      <c r="M120" s="192">
        <v>122173649119</v>
      </c>
      <c r="N120" s="192">
        <v>150032628934</v>
      </c>
      <c r="O120" s="190">
        <v>129569093377</v>
      </c>
      <c r="P120" s="189">
        <v>111962259838</v>
      </c>
      <c r="Q120" s="189">
        <v>122372104738</v>
      </c>
      <c r="R120" s="189">
        <v>93552275068</v>
      </c>
      <c r="S120" s="190">
        <v>121411576288</v>
      </c>
      <c r="T120" s="189">
        <v>116035119055</v>
      </c>
      <c r="U120" s="189">
        <v>119942041817</v>
      </c>
      <c r="V120" s="189">
        <v>121933453382</v>
      </c>
      <c r="W120" s="189">
        <v>121933453382</v>
      </c>
    </row>
    <row r="121" spans="1:23" ht="17">
      <c r="B121" s="183" t="s">
        <v>57</v>
      </c>
      <c r="C121" s="183"/>
      <c r="D121" s="192">
        <v>2469935779</v>
      </c>
      <c r="E121" s="192">
        <v>-1504716713</v>
      </c>
      <c r="F121" s="192">
        <v>986415851</v>
      </c>
      <c r="G121" s="192">
        <v>-2098334056</v>
      </c>
      <c r="H121" s="192">
        <v>-1925725003</v>
      </c>
      <c r="I121" s="192">
        <v>-1843780248</v>
      </c>
      <c r="J121" s="192">
        <v>-8390051674</v>
      </c>
      <c r="K121" s="192">
        <v>-39530671992</v>
      </c>
      <c r="L121" s="192">
        <v>-10835835513</v>
      </c>
      <c r="M121" s="192">
        <v>851401604</v>
      </c>
      <c r="N121" s="192">
        <v>-2834596320</v>
      </c>
      <c r="O121" s="192">
        <v>-15588829506</v>
      </c>
      <c r="P121" s="192">
        <v>625579532</v>
      </c>
      <c r="Q121" s="192">
        <v>-4258169262</v>
      </c>
      <c r="R121" s="192">
        <v>-892379645</v>
      </c>
      <c r="S121" s="192">
        <v>-8553748104</v>
      </c>
      <c r="T121" s="192">
        <v>999838156</v>
      </c>
      <c r="U121" s="192">
        <v>-3916152931</v>
      </c>
      <c r="V121" s="192">
        <v>-6641349792</v>
      </c>
      <c r="W121" s="192">
        <v>-4258169262</v>
      </c>
    </row>
    <row r="122" spans="1:23">
      <c r="B122" s="179" t="s">
        <v>56</v>
      </c>
      <c r="D122" s="189">
        <v>262570887027</v>
      </c>
      <c r="E122" s="189">
        <v>262570887027</v>
      </c>
      <c r="F122" s="189">
        <v>262570887027</v>
      </c>
      <c r="G122" s="190">
        <v>275487784551</v>
      </c>
      <c r="H122" s="189">
        <v>267943349080</v>
      </c>
      <c r="I122" s="189">
        <v>292642081080</v>
      </c>
      <c r="J122" s="189">
        <v>302441561973</v>
      </c>
      <c r="K122" s="190">
        <v>283270056415</v>
      </c>
      <c r="L122" s="192">
        <v>201718229741</v>
      </c>
      <c r="M122" s="192">
        <v>205000898407</v>
      </c>
      <c r="N122" s="192">
        <v>206362107956</v>
      </c>
      <c r="O122" s="190">
        <v>170331201369</v>
      </c>
      <c r="P122" s="189">
        <v>161645486764</v>
      </c>
      <c r="Q122" s="189">
        <v>157050441566</v>
      </c>
      <c r="R122" s="189">
        <v>134104989245</v>
      </c>
      <c r="S122" s="190">
        <v>159955395491</v>
      </c>
      <c r="T122" s="189">
        <v>155578776414</v>
      </c>
      <c r="U122" s="189">
        <v>155569546245</v>
      </c>
      <c r="V122" s="189">
        <v>150889204018</v>
      </c>
      <c r="W122" s="189">
        <v>150889204018</v>
      </c>
    </row>
    <row r="123" spans="1:23">
      <c r="B123" s="179" t="s">
        <v>55</v>
      </c>
      <c r="D123" s="189">
        <v>135879045183</v>
      </c>
      <c r="E123" s="189">
        <v>135879045183</v>
      </c>
      <c r="F123" s="189">
        <v>135879045183</v>
      </c>
      <c r="G123" s="190">
        <v>149811341327</v>
      </c>
      <c r="H123" s="189">
        <v>144192630859</v>
      </c>
      <c r="I123" s="189">
        <v>169372951796</v>
      </c>
      <c r="J123" s="189">
        <v>187281388707</v>
      </c>
      <c r="K123" s="190">
        <v>207781445025</v>
      </c>
      <c r="L123" s="192">
        <v>206159556503</v>
      </c>
      <c r="M123" s="192">
        <v>208590823563</v>
      </c>
      <c r="N123" s="192">
        <v>214350773077</v>
      </c>
      <c r="O123" s="190">
        <v>205297057648</v>
      </c>
      <c r="P123" s="189">
        <v>198432975151</v>
      </c>
      <c r="Q123" s="189">
        <v>193729406192</v>
      </c>
      <c r="R123" s="189">
        <v>171676333507</v>
      </c>
      <c r="S123" s="190">
        <v>207474366266</v>
      </c>
      <c r="T123" s="189">
        <v>202097909033</v>
      </c>
      <c r="U123" s="189">
        <v>206004831795</v>
      </c>
      <c r="V123" s="189">
        <v>207965839360</v>
      </c>
      <c r="W123" s="189">
        <v>207965839360</v>
      </c>
    </row>
    <row r="124" spans="1:23" ht="17">
      <c r="A124" s="179">
        <v>21</v>
      </c>
      <c r="B124" s="183" t="s">
        <v>29</v>
      </c>
      <c r="C124" s="183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</row>
    <row r="125" spans="1:23">
      <c r="B125" s="179" t="s">
        <v>58</v>
      </c>
      <c r="D125" s="189">
        <v>32788452752</v>
      </c>
      <c r="E125" s="189">
        <v>32788452752</v>
      </c>
      <c r="F125" s="189">
        <v>26505063385</v>
      </c>
      <c r="G125" s="190">
        <v>25440029597</v>
      </c>
      <c r="H125" s="189">
        <v>27036651747</v>
      </c>
      <c r="I125" s="189">
        <v>15261797457</v>
      </c>
      <c r="J125" s="189">
        <v>20213179036</v>
      </c>
      <c r="K125" s="190">
        <v>20982095779</v>
      </c>
      <c r="L125" s="192">
        <v>26683500590</v>
      </c>
      <c r="M125" s="192">
        <v>22184302799</v>
      </c>
      <c r="N125" s="192">
        <v>26048828809</v>
      </c>
      <c r="O125" s="190">
        <v>27205306574</v>
      </c>
      <c r="P125" s="189">
        <v>31969067212</v>
      </c>
      <c r="Q125" s="189">
        <v>25064074453</v>
      </c>
      <c r="R125" s="189">
        <v>24290482675</v>
      </c>
      <c r="S125" s="190">
        <v>29138439646</v>
      </c>
      <c r="T125" s="189">
        <v>31335442522</v>
      </c>
      <c r="U125" s="189">
        <v>28704573439</v>
      </c>
      <c r="V125" s="189">
        <v>24475600231</v>
      </c>
      <c r="W125" s="189">
        <v>24710914366</v>
      </c>
    </row>
    <row r="126" spans="1:23">
      <c r="B126" s="179" t="s">
        <v>59</v>
      </c>
      <c r="D126" s="189">
        <v>201026965355</v>
      </c>
      <c r="E126" s="189">
        <v>201026965355</v>
      </c>
      <c r="F126" s="189">
        <v>168255908445</v>
      </c>
      <c r="G126" s="190">
        <v>190967041916</v>
      </c>
      <c r="H126" s="189">
        <v>194490254698</v>
      </c>
      <c r="I126" s="189">
        <v>194019071215</v>
      </c>
      <c r="J126" s="189">
        <v>181885781769</v>
      </c>
      <c r="K126" s="190">
        <v>187447337836</v>
      </c>
      <c r="L126" s="192">
        <v>184183054669</v>
      </c>
      <c r="M126" s="192">
        <v>188841789758</v>
      </c>
      <c r="N126" s="192">
        <v>181756096091</v>
      </c>
      <c r="O126" s="190">
        <v>323987512785</v>
      </c>
      <c r="P126" s="189">
        <v>322787260477</v>
      </c>
      <c r="Q126" s="189">
        <v>342712462294</v>
      </c>
      <c r="R126" s="189">
        <v>309547874435</v>
      </c>
      <c r="S126" s="190">
        <v>207036303928</v>
      </c>
      <c r="T126" s="189">
        <v>213684584430</v>
      </c>
      <c r="U126" s="189">
        <v>219845057458</v>
      </c>
      <c r="V126" s="189">
        <v>220375039019</v>
      </c>
      <c r="W126" s="189">
        <v>239244745450</v>
      </c>
    </row>
    <row r="127" spans="1:23" ht="17">
      <c r="B127" s="183" t="s">
        <v>57</v>
      </c>
      <c r="C127" s="183"/>
      <c r="D127" s="192">
        <v>-1809935687</v>
      </c>
      <c r="E127" s="192">
        <v>2277939497</v>
      </c>
      <c r="F127" s="192">
        <v>9956155010</v>
      </c>
      <c r="G127" s="192">
        <v>-1216684827</v>
      </c>
      <c r="H127" s="192">
        <v>1447670548</v>
      </c>
      <c r="I127" s="192">
        <v>-12159257542</v>
      </c>
      <c r="J127" s="192">
        <v>-2081371316</v>
      </c>
      <c r="K127" s="192">
        <v>-4796858601</v>
      </c>
      <c r="L127" s="192">
        <v>-217467710</v>
      </c>
      <c r="M127" s="192">
        <v>1324627465</v>
      </c>
      <c r="N127" s="192">
        <v>-956193293</v>
      </c>
      <c r="O127" s="192">
        <v>641086747</v>
      </c>
      <c r="P127" s="192">
        <v>1603929393</v>
      </c>
      <c r="Q127" s="192">
        <v>2617303493</v>
      </c>
      <c r="R127" s="192">
        <v>1387159281</v>
      </c>
      <c r="S127" s="192">
        <v>4643312655</v>
      </c>
      <c r="T127" s="192">
        <v>6641990465</v>
      </c>
      <c r="U127" s="192">
        <v>3110709966</v>
      </c>
      <c r="V127" s="192">
        <v>3405592774</v>
      </c>
      <c r="W127" s="192">
        <v>6510086665</v>
      </c>
    </row>
    <row r="128" spans="1:23">
      <c r="B128" s="179" t="s">
        <v>56</v>
      </c>
      <c r="D128" s="189">
        <v>329373392304</v>
      </c>
      <c r="E128" s="189">
        <v>329373392304</v>
      </c>
      <c r="F128" s="189">
        <v>316642474450</v>
      </c>
      <c r="G128" s="190">
        <v>357452208844</v>
      </c>
      <c r="H128" s="189">
        <v>351574731677</v>
      </c>
      <c r="I128" s="189">
        <v>332325778077</v>
      </c>
      <c r="J128" s="189">
        <v>329809360339</v>
      </c>
      <c r="K128" s="190">
        <v>322122601642</v>
      </c>
      <c r="L128" s="192">
        <v>320349552764</v>
      </c>
      <c r="M128" s="192">
        <v>308430885658</v>
      </c>
      <c r="N128" s="192">
        <v>304871582979</v>
      </c>
      <c r="O128" s="190">
        <v>298604232055</v>
      </c>
      <c r="P128" s="189">
        <v>295944164004</v>
      </c>
      <c r="Q128" s="189">
        <v>281615342556</v>
      </c>
      <c r="R128" s="189">
        <v>273417922086</v>
      </c>
      <c r="S128" s="190">
        <v>270842050371</v>
      </c>
      <c r="T128" s="189">
        <v>265669085583</v>
      </c>
      <c r="U128" s="189">
        <v>255775970874</v>
      </c>
      <c r="V128" s="189">
        <v>244326372977</v>
      </c>
      <c r="W128" s="189">
        <v>237297109924</v>
      </c>
    </row>
    <row r="129" spans="1:24">
      <c r="B129" s="179" t="s">
        <v>55</v>
      </c>
      <c r="D129" s="189">
        <v>389528508886</v>
      </c>
      <c r="E129" s="189">
        <v>389528508886</v>
      </c>
      <c r="F129" s="189">
        <v>366841435822</v>
      </c>
      <c r="G129" s="190">
        <v>408955063516</v>
      </c>
      <c r="H129" s="189">
        <v>401629915801</v>
      </c>
      <c r="I129" s="189">
        <v>394540219743</v>
      </c>
      <c r="J129" s="189">
        <v>394105173321</v>
      </c>
      <c r="K129" s="190">
        <v>391040622215</v>
      </c>
      <c r="L129" s="192">
        <v>389485041047</v>
      </c>
      <c r="M129" s="192">
        <v>376241746476</v>
      </c>
      <c r="N129" s="192">
        <v>373638637090</v>
      </c>
      <c r="O129" s="190">
        <v>366839357213</v>
      </c>
      <c r="P129" s="189">
        <v>362575359769</v>
      </c>
      <c r="Q129" s="189">
        <v>345629234828</v>
      </c>
      <c r="R129" s="189">
        <v>336044655077</v>
      </c>
      <c r="S129" s="190">
        <v>328634650706</v>
      </c>
      <c r="T129" s="189">
        <v>316819695453</v>
      </c>
      <c r="U129" s="189">
        <v>303815870778</v>
      </c>
      <c r="V129" s="189">
        <v>288960680109</v>
      </c>
      <c r="W129" s="189">
        <v>275538626115</v>
      </c>
    </row>
    <row r="130" spans="1:24" ht="17">
      <c r="A130" s="179">
        <v>22</v>
      </c>
      <c r="B130" s="183" t="s">
        <v>30</v>
      </c>
      <c r="C130" s="183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</row>
    <row r="131" spans="1:24">
      <c r="B131" s="179" t="s">
        <v>58</v>
      </c>
      <c r="D131" s="189">
        <v>7135570913852</v>
      </c>
      <c r="E131" s="189">
        <v>7493723538277</v>
      </c>
      <c r="F131" s="189">
        <v>7500337255717</v>
      </c>
      <c r="G131" s="190">
        <v>7588263288283</v>
      </c>
      <c r="H131" s="189">
        <v>8273650385314</v>
      </c>
      <c r="I131" s="189">
        <v>9520861474884</v>
      </c>
      <c r="J131" s="189">
        <v>8698419082378</v>
      </c>
      <c r="K131" s="190">
        <v>8268647779762</v>
      </c>
      <c r="L131" s="192">
        <v>8861335851259</v>
      </c>
      <c r="M131" s="192">
        <v>9025687354085</v>
      </c>
      <c r="N131" s="192">
        <v>8902417285371</v>
      </c>
      <c r="O131" s="190">
        <v>8622455431795</v>
      </c>
      <c r="P131" s="189">
        <v>8447640267759</v>
      </c>
      <c r="Q131" s="189">
        <v>8467030933498</v>
      </c>
      <c r="R131" s="189">
        <v>8143020290936</v>
      </c>
      <c r="S131" s="190">
        <v>9348909743155</v>
      </c>
      <c r="T131" s="189">
        <v>9432596376118</v>
      </c>
      <c r="U131" s="189">
        <v>9163433798879</v>
      </c>
      <c r="V131" s="189">
        <v>9548553019031</v>
      </c>
      <c r="W131" s="189">
        <v>9786373117617</v>
      </c>
    </row>
    <row r="132" spans="1:24">
      <c r="B132" s="179" t="s">
        <v>59</v>
      </c>
      <c r="D132" s="189">
        <v>8264895425385</v>
      </c>
      <c r="E132" s="189">
        <v>9412771676638</v>
      </c>
      <c r="F132" s="189">
        <v>8549171493207</v>
      </c>
      <c r="G132" s="190">
        <v>8994809317527</v>
      </c>
      <c r="H132" s="189">
        <v>11952442535142</v>
      </c>
      <c r="I132" s="189">
        <v>10541953021154</v>
      </c>
      <c r="J132" s="189">
        <v>10526190787781</v>
      </c>
      <c r="K132" s="190">
        <v>9619428981410</v>
      </c>
      <c r="L132" s="192">
        <v>9893448792087</v>
      </c>
      <c r="M132" s="192">
        <v>10472426784205</v>
      </c>
      <c r="N132" s="192">
        <v>10280770641556</v>
      </c>
      <c r="O132" s="190">
        <v>10425774038841</v>
      </c>
      <c r="P132" s="189">
        <v>8880715527595</v>
      </c>
      <c r="Q132" s="189">
        <v>11384674084022</v>
      </c>
      <c r="R132" s="189">
        <v>11299353913320</v>
      </c>
      <c r="S132" s="190">
        <v>13085783484765</v>
      </c>
      <c r="T132" s="189">
        <v>12194000225999</v>
      </c>
      <c r="U132" s="189">
        <v>10722178206524</v>
      </c>
      <c r="V132" s="189">
        <v>10517768844465</v>
      </c>
      <c r="W132" s="189">
        <v>10691776613770</v>
      </c>
    </row>
    <row r="133" spans="1:24" ht="17">
      <c r="B133" s="183" t="s">
        <v>57</v>
      </c>
      <c r="C133" s="183"/>
      <c r="D133" s="192">
        <v>57465072417</v>
      </c>
      <c r="E133" s="192">
        <v>43411048255</v>
      </c>
      <c r="F133" s="192">
        <v>-36728215483</v>
      </c>
      <c r="G133" s="192">
        <v>-20580655382</v>
      </c>
      <c r="H133" s="192">
        <v>15317138196</v>
      </c>
      <c r="I133" s="192">
        <v>-46577191860</v>
      </c>
      <c r="J133" s="192">
        <v>-37683626380</v>
      </c>
      <c r="K133" s="192">
        <v>-42714581472</v>
      </c>
      <c r="L133" s="192">
        <v>-42498433783</v>
      </c>
      <c r="M133" s="192">
        <v>42996034892</v>
      </c>
      <c r="N133" s="192">
        <v>-21627051198</v>
      </c>
      <c r="O133" s="192">
        <v>-59429801542</v>
      </c>
      <c r="P133" s="192">
        <v>72169203139</v>
      </c>
      <c r="Q133" s="192">
        <v>33157676049</v>
      </c>
      <c r="R133" s="192">
        <v>-2616883593</v>
      </c>
      <c r="S133" s="192">
        <v>-11329166742</v>
      </c>
      <c r="T133" s="192">
        <v>72457855536</v>
      </c>
      <c r="U133" s="192">
        <v>33552258196</v>
      </c>
      <c r="V133" s="192">
        <v>-46037884530</v>
      </c>
      <c r="W133" s="192">
        <v>209629418690</v>
      </c>
    </row>
    <row r="134" spans="1:24">
      <c r="B134" s="179" t="s">
        <v>56</v>
      </c>
      <c r="D134" s="189">
        <v>21000416590727</v>
      </c>
      <c r="E134" s="189">
        <v>22419156543276</v>
      </c>
      <c r="F134" s="189">
        <v>23505530723970</v>
      </c>
      <c r="G134" s="190">
        <v>24296140332728</v>
      </c>
      <c r="H134" s="189">
        <v>26364886750127</v>
      </c>
      <c r="I134" s="189">
        <v>25368524584428</v>
      </c>
      <c r="J134" s="189">
        <v>24477379252660</v>
      </c>
      <c r="K134" s="190">
        <v>23639879332158</v>
      </c>
      <c r="L134" s="192">
        <v>23850583200756</v>
      </c>
      <c r="M134" s="192">
        <v>24380961128114</v>
      </c>
      <c r="N134" s="192">
        <v>24192093350851</v>
      </c>
      <c r="O134" s="190">
        <v>24715394326528</v>
      </c>
      <c r="P134" s="189">
        <v>24677256178379</v>
      </c>
      <c r="Q134" s="189">
        <v>25150142636673</v>
      </c>
      <c r="R134" s="189">
        <v>25108016982549</v>
      </c>
      <c r="S134" s="190">
        <v>26929459012147</v>
      </c>
      <c r="T134" s="189">
        <v>27563047992382</v>
      </c>
      <c r="U134" s="189">
        <v>27287242526377</v>
      </c>
      <c r="V134" s="189">
        <v>28061960394159</v>
      </c>
      <c r="W134" s="189">
        <v>28711561013612</v>
      </c>
    </row>
    <row r="135" spans="1:24">
      <c r="B135" s="179" t="s">
        <v>55</v>
      </c>
      <c r="D135" s="189">
        <v>17539924362046</v>
      </c>
      <c r="E135" s="189">
        <v>18983891296404</v>
      </c>
      <c r="F135" s="189">
        <v>20120902992123</v>
      </c>
      <c r="G135" s="190">
        <v>21014232022229</v>
      </c>
      <c r="H135" s="189">
        <v>23204117493696</v>
      </c>
      <c r="I135" s="189">
        <v>22162596635314</v>
      </c>
      <c r="J135" s="189">
        <v>20853257734203</v>
      </c>
      <c r="K135" s="190">
        <v>20035511464172</v>
      </c>
      <c r="L135" s="192">
        <v>20221795014995</v>
      </c>
      <c r="M135" s="192">
        <v>20589339308324</v>
      </c>
      <c r="N135" s="192">
        <v>20384965721452</v>
      </c>
      <c r="O135" s="190">
        <v>20905277198797</v>
      </c>
      <c r="P135" s="189">
        <v>20778672401764</v>
      </c>
      <c r="Q135" s="189">
        <v>21194143189184</v>
      </c>
      <c r="R135" s="189">
        <v>21030143943111</v>
      </c>
      <c r="S135" s="190">
        <v>22506427524373</v>
      </c>
      <c r="T135" s="189">
        <v>23024243368258</v>
      </c>
      <c r="U135" s="189">
        <v>22801928005754</v>
      </c>
      <c r="V135" s="189">
        <v>23627260212735</v>
      </c>
      <c r="W135" s="189">
        <v>23973773451031</v>
      </c>
    </row>
    <row r="136" spans="1:24" ht="17">
      <c r="A136" s="179">
        <v>23</v>
      </c>
      <c r="B136" s="183" t="s">
        <v>31</v>
      </c>
      <c r="C136" s="183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</row>
    <row r="137" spans="1:24">
      <c r="B137" s="179" t="s">
        <v>58</v>
      </c>
      <c r="D137" s="189">
        <v>721689299584</v>
      </c>
      <c r="E137" s="189">
        <v>789601397225</v>
      </c>
      <c r="F137" s="189">
        <v>652506417924</v>
      </c>
      <c r="G137" s="190">
        <v>652506417924</v>
      </c>
      <c r="H137" s="189">
        <v>839996592159</v>
      </c>
      <c r="I137" s="189">
        <v>777023260245</v>
      </c>
      <c r="J137" s="189">
        <v>615788743979</v>
      </c>
      <c r="K137" s="190">
        <v>627688164688</v>
      </c>
      <c r="L137" s="189">
        <v>1063010267703</v>
      </c>
      <c r="M137" s="189">
        <v>1105944036733</v>
      </c>
      <c r="N137" s="189">
        <v>1191789124341</v>
      </c>
      <c r="O137" s="190">
        <v>1061788861867</v>
      </c>
      <c r="P137" s="189">
        <v>2050192318290</v>
      </c>
      <c r="Q137" s="189">
        <v>1889633529253</v>
      </c>
      <c r="R137" s="189">
        <v>1865539836915</v>
      </c>
      <c r="S137" s="190">
        <v>1545235102845</v>
      </c>
      <c r="T137" s="189">
        <v>1646812174378</v>
      </c>
      <c r="U137" s="189">
        <v>1619761014157</v>
      </c>
      <c r="V137" s="189">
        <v>1515865061626</v>
      </c>
      <c r="W137" s="189">
        <v>1466081219253</v>
      </c>
    </row>
    <row r="138" spans="1:24">
      <c r="B138" s="179" t="s">
        <v>59</v>
      </c>
      <c r="D138" s="189">
        <v>1186016264221</v>
      </c>
      <c r="E138" s="189">
        <v>1177768828152</v>
      </c>
      <c r="F138" s="189">
        <v>1240237695433</v>
      </c>
      <c r="G138" s="190">
        <v>1240237695433</v>
      </c>
      <c r="H138" s="189">
        <v>1324580613403</v>
      </c>
      <c r="I138" s="189">
        <v>1261419661816</v>
      </c>
      <c r="J138" s="189">
        <v>1177805869064</v>
      </c>
      <c r="K138" s="190">
        <v>1436932364028</v>
      </c>
      <c r="L138" s="189">
        <v>1425694118179</v>
      </c>
      <c r="M138" s="189">
        <v>1433024586816</v>
      </c>
      <c r="N138" s="189">
        <v>1105563764674</v>
      </c>
      <c r="O138" s="190">
        <v>1182732810012</v>
      </c>
      <c r="P138" s="189">
        <v>1709266645431</v>
      </c>
      <c r="Q138" s="189">
        <v>1722886876991</v>
      </c>
      <c r="R138" s="189">
        <v>1764081874590</v>
      </c>
      <c r="S138" s="190">
        <v>1792267563348</v>
      </c>
      <c r="T138" s="189">
        <v>1772665197754</v>
      </c>
      <c r="U138" s="189">
        <v>1811537413623</v>
      </c>
      <c r="V138" s="189">
        <v>1579046469279</v>
      </c>
      <c r="W138" s="189">
        <v>1663304123364</v>
      </c>
    </row>
    <row r="139" spans="1:24" ht="17">
      <c r="B139" s="183" t="s">
        <v>57</v>
      </c>
      <c r="C139" s="183"/>
      <c r="D139" s="192">
        <v>26529231504</v>
      </c>
      <c r="E139" s="192">
        <v>15893525606</v>
      </c>
      <c r="F139" s="192">
        <v>37293408466</v>
      </c>
      <c r="G139" s="192">
        <v>11898775304</v>
      </c>
      <c r="H139" s="192">
        <v>26052212500</v>
      </c>
      <c r="I139" s="189">
        <v>-8372317145</v>
      </c>
      <c r="J139" s="192">
        <v>3134205331</v>
      </c>
      <c r="K139" s="192">
        <v>43082321294</v>
      </c>
      <c r="L139" s="192">
        <v>33116959069</v>
      </c>
      <c r="M139" s="192">
        <v>42324728210</v>
      </c>
      <c r="N139" s="192">
        <v>-6028582295</v>
      </c>
      <c r="O139" s="192">
        <v>90167927012</v>
      </c>
      <c r="P139" s="192">
        <v>84829559740</v>
      </c>
      <c r="Q139" s="192">
        <v>12421991409</v>
      </c>
      <c r="R139" s="192">
        <v>-28202518782</v>
      </c>
      <c r="S139" s="192">
        <v>-65344703724</v>
      </c>
      <c r="T139" s="192">
        <v>38541761306</v>
      </c>
      <c r="U139" s="192">
        <v>702453900</v>
      </c>
      <c r="V139" s="192">
        <v>26657437940</v>
      </c>
      <c r="W139" s="192">
        <v>-46471479170</v>
      </c>
    </row>
    <row r="140" spans="1:24">
      <c r="B140" s="179" t="s">
        <v>56</v>
      </c>
      <c r="D140" s="189">
        <v>4410223264405</v>
      </c>
      <c r="E140" s="189">
        <v>4552121772634</v>
      </c>
      <c r="F140" s="189">
        <v>4849223630042</v>
      </c>
      <c r="G140" s="190">
        <v>4849223630042</v>
      </c>
      <c r="H140" s="189">
        <v>5111130398037</v>
      </c>
      <c r="I140" s="189">
        <v>4979786041364</v>
      </c>
      <c r="J140" s="189">
        <v>4812254233792</v>
      </c>
      <c r="K140" s="190">
        <v>5170895098267</v>
      </c>
      <c r="L140" s="189">
        <v>5595444820742</v>
      </c>
      <c r="M140" s="189">
        <v>5658263406100</v>
      </c>
      <c r="N140" s="189">
        <v>5888311145825</v>
      </c>
      <c r="O140" s="190">
        <v>6031946733670</v>
      </c>
      <c r="P140" s="189">
        <v>7230467509913</v>
      </c>
      <c r="Q140" s="189">
        <v>7311158789126</v>
      </c>
      <c r="R140" s="189">
        <v>7443318926000</v>
      </c>
      <c r="S140" s="190">
        <v>7268436910723</v>
      </c>
      <c r="T140" s="189">
        <v>7300219022349</v>
      </c>
      <c r="U140" s="189">
        <v>7398882252284</v>
      </c>
      <c r="V140" s="189">
        <v>7249800968627</v>
      </c>
      <c r="W140" s="189">
        <v>7335797636072</v>
      </c>
    </row>
    <row r="141" spans="1:24">
      <c r="B141" s="179" t="s">
        <v>55</v>
      </c>
      <c r="D141" s="189">
        <v>3191005991870</v>
      </c>
      <c r="E141" s="189">
        <v>3260610309086</v>
      </c>
      <c r="F141" s="189">
        <v>3511071376393</v>
      </c>
      <c r="G141" s="190">
        <v>3511071376393</v>
      </c>
      <c r="H141" s="189">
        <v>3702416841231</v>
      </c>
      <c r="I141" s="189">
        <v>3568709254687</v>
      </c>
      <c r="J141" s="189">
        <v>3408657789881</v>
      </c>
      <c r="K141" s="190">
        <v>3731575182568</v>
      </c>
      <c r="L141" s="189">
        <v>3982171059007</v>
      </c>
      <c r="M141" s="189">
        <v>4000997955181</v>
      </c>
      <c r="N141" s="189">
        <v>3710246238505</v>
      </c>
      <c r="O141" s="190">
        <v>4266438743626</v>
      </c>
      <c r="P141" s="189">
        <v>4737338973465</v>
      </c>
      <c r="Q141" s="189">
        <v>4736419184790</v>
      </c>
      <c r="R141" s="189">
        <v>4899552306171</v>
      </c>
      <c r="S141" s="190">
        <v>4797579648309</v>
      </c>
      <c r="T141" s="189">
        <v>4792744490419</v>
      </c>
      <c r="U141" s="189">
        <v>4896406749142</v>
      </c>
      <c r="V141" s="189">
        <v>4593544443387</v>
      </c>
      <c r="W141" s="189">
        <v>4733321354845</v>
      </c>
    </row>
    <row r="142" spans="1:24"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</row>
    <row r="143" spans="1:24" s="202" customFormat="1">
      <c r="A143" s="202" t="s">
        <v>0</v>
      </c>
      <c r="B143" s="202" t="s">
        <v>1</v>
      </c>
      <c r="C143" s="202" t="s">
        <v>2</v>
      </c>
      <c r="D143" s="202" t="s">
        <v>3</v>
      </c>
      <c r="G143" s="203"/>
      <c r="K143" s="203"/>
      <c r="O143" s="203"/>
      <c r="S143" s="203"/>
      <c r="X143" s="222"/>
    </row>
    <row r="144" spans="1:24">
      <c r="D144" s="204">
        <v>2019</v>
      </c>
      <c r="E144" s="204"/>
      <c r="F144" s="204"/>
      <c r="G144" s="204"/>
      <c r="H144" s="204">
        <v>2020</v>
      </c>
      <c r="I144" s="204"/>
      <c r="J144" s="204"/>
      <c r="K144" s="204"/>
      <c r="L144" s="204">
        <v>2021</v>
      </c>
      <c r="M144" s="204"/>
      <c r="N144" s="204"/>
      <c r="O144" s="204"/>
      <c r="P144" s="204">
        <v>2022</v>
      </c>
      <c r="Q144" s="204"/>
      <c r="R144" s="204"/>
      <c r="S144" s="204"/>
      <c r="T144" s="204">
        <v>2023</v>
      </c>
      <c r="U144" s="204"/>
      <c r="V144" s="204"/>
      <c r="W144" s="204"/>
    </row>
    <row r="145" spans="2:24">
      <c r="D145" s="179" t="s">
        <v>5</v>
      </c>
      <c r="E145" s="179" t="s">
        <v>6</v>
      </c>
      <c r="F145" s="179" t="s">
        <v>7</v>
      </c>
      <c r="G145" s="184" t="s">
        <v>8</v>
      </c>
      <c r="H145" s="179" t="s">
        <v>5</v>
      </c>
      <c r="I145" s="179" t="s">
        <v>6</v>
      </c>
      <c r="J145" s="179" t="s">
        <v>7</v>
      </c>
      <c r="K145" s="184" t="s">
        <v>8</v>
      </c>
      <c r="L145" s="179" t="s">
        <v>5</v>
      </c>
      <c r="M145" s="179" t="s">
        <v>6</v>
      </c>
      <c r="N145" s="179" t="s">
        <v>7</v>
      </c>
      <c r="O145" s="184" t="s">
        <v>8</v>
      </c>
      <c r="P145" s="179" t="s">
        <v>5</v>
      </c>
      <c r="Q145" s="179" t="s">
        <v>6</v>
      </c>
      <c r="R145" s="179" t="s">
        <v>7</v>
      </c>
      <c r="S145" s="184" t="s">
        <v>8</v>
      </c>
      <c r="T145" s="179" t="s">
        <v>5</v>
      </c>
      <c r="U145" s="179" t="s">
        <v>6</v>
      </c>
      <c r="V145" s="179" t="s">
        <v>7</v>
      </c>
      <c r="W145" s="179" t="s">
        <v>8</v>
      </c>
    </row>
    <row r="146" spans="2:24" s="207" customFormat="1" ht="18" thickBot="1">
      <c r="B146" s="205" t="s">
        <v>9</v>
      </c>
      <c r="C146" s="206" t="s">
        <v>32</v>
      </c>
      <c r="D146" s="9">
        <f>D5/D6</f>
        <v>0.60819401648005955</v>
      </c>
      <c r="E146" s="9">
        <f t="shared" ref="E146:W146" si="0">E5/E6</f>
        <v>0.60361074389192526</v>
      </c>
      <c r="F146" s="9">
        <f t="shared" si="0"/>
        <v>0.54780162130107979</v>
      </c>
      <c r="G146" s="9">
        <f t="shared" si="0"/>
        <v>0.5456385956499773</v>
      </c>
      <c r="H146" s="22">
        <f t="shared" si="0"/>
        <v>0.62456922966597961</v>
      </c>
      <c r="I146" s="9">
        <f t="shared" si="0"/>
        <v>0.74252172290808482</v>
      </c>
      <c r="J146" s="9">
        <f t="shared" si="0"/>
        <v>0.7945153774785233</v>
      </c>
      <c r="K146" s="9">
        <f t="shared" si="0"/>
        <v>0.50596209274204651</v>
      </c>
      <c r="L146" s="22">
        <f t="shared" si="0"/>
        <v>0.57174254385072509</v>
      </c>
      <c r="M146" s="9">
        <f t="shared" si="0"/>
        <v>0.75665119752549681</v>
      </c>
      <c r="N146" s="9">
        <f t="shared" si="0"/>
        <v>0.8644284138963847</v>
      </c>
      <c r="O146" s="9">
        <f t="shared" si="0"/>
        <v>1.3257784480256078</v>
      </c>
      <c r="P146" s="22">
        <f t="shared" si="0"/>
        <v>1.492950039371419</v>
      </c>
      <c r="Q146" s="9">
        <f t="shared" si="0"/>
        <v>1.1245662145488096</v>
      </c>
      <c r="R146" s="9">
        <f t="shared" si="0"/>
        <v>1.1613392541895697</v>
      </c>
      <c r="S146" s="9">
        <f t="shared" si="0"/>
        <v>1.1505105179885833</v>
      </c>
      <c r="T146" s="22">
        <f t="shared" si="0"/>
        <v>1.3642221090749402</v>
      </c>
      <c r="U146" s="9">
        <f t="shared" si="0"/>
        <v>1.6339127543116208</v>
      </c>
      <c r="V146" s="9">
        <f t="shared" si="0"/>
        <v>2.1493974284316586</v>
      </c>
      <c r="W146" s="9">
        <f t="shared" si="0"/>
        <v>2.5169214528603878</v>
      </c>
      <c r="X146" s="220">
        <f>AVERAGE(D146:W146)</f>
        <v>1.0542616887096439</v>
      </c>
    </row>
    <row r="147" spans="2:24" s="207" customFormat="1" ht="18" thickBot="1">
      <c r="B147" s="208" t="s">
        <v>10</v>
      </c>
      <c r="C147" s="209" t="s">
        <v>33</v>
      </c>
      <c r="D147" s="9">
        <f>D11/D12</f>
        <v>5.6450852270449481</v>
      </c>
      <c r="E147" s="9">
        <f t="shared" ref="E147:W147" si="1">E11/E12</f>
        <v>3.7361965493336498</v>
      </c>
      <c r="F147" s="9">
        <f t="shared" si="1"/>
        <v>4.9879765615082787</v>
      </c>
      <c r="G147" s="9">
        <f t="shared" si="1"/>
        <v>5.7815172184875818</v>
      </c>
      <c r="H147" s="22">
        <f t="shared" si="1"/>
        <v>5.9829970124743497</v>
      </c>
      <c r="I147" s="9">
        <f t="shared" si="1"/>
        <v>5.0223265216253861</v>
      </c>
      <c r="J147" s="9">
        <f t="shared" si="1"/>
        <v>7.9793682087401745</v>
      </c>
      <c r="K147" s="9">
        <f t="shared" si="1"/>
        <v>6.7234066289247219</v>
      </c>
      <c r="L147" s="22">
        <f t="shared" si="1"/>
        <v>7.4767941904783788</v>
      </c>
      <c r="M147" s="9">
        <f t="shared" si="1"/>
        <v>7.9402291681417685</v>
      </c>
      <c r="N147" s="9">
        <f t="shared" si="1"/>
        <v>7.2629837788278095</v>
      </c>
      <c r="O147" s="9">
        <f t="shared" si="1"/>
        <v>3.8476762836036618</v>
      </c>
      <c r="P147" s="22">
        <f t="shared" si="1"/>
        <v>3.2525164008817762</v>
      </c>
      <c r="Q147" s="9">
        <f t="shared" si="1"/>
        <v>2.302249670306225</v>
      </c>
      <c r="R147" s="9">
        <f t="shared" si="1"/>
        <v>1.8169773877222128</v>
      </c>
      <c r="S147" s="9">
        <f t="shared" si="1"/>
        <v>4.0716706257502544</v>
      </c>
      <c r="T147" s="22">
        <f t="shared" si="1"/>
        <v>2.747293601083308</v>
      </c>
      <c r="U147" s="9">
        <f t="shared" si="1"/>
        <v>2.5282710922997045</v>
      </c>
      <c r="V147" s="9">
        <f t="shared" si="1"/>
        <v>3.1592987499666796</v>
      </c>
      <c r="W147" s="9">
        <f t="shared" si="1"/>
        <v>2.6656050524397239</v>
      </c>
      <c r="X147" s="220">
        <f t="shared" ref="X147:X168" si="2">AVERAGE(D147:W147)</f>
        <v>4.7465219964820307</v>
      </c>
    </row>
    <row r="148" spans="2:24" s="207" customFormat="1" ht="18" thickBot="1">
      <c r="B148" s="208" t="s">
        <v>11</v>
      </c>
      <c r="C148" s="209" t="s">
        <v>34</v>
      </c>
      <c r="D148" s="9">
        <f t="shared" ref="D148:F148" si="3">D17/D18</f>
        <v>1.4927496930431572</v>
      </c>
      <c r="E148" s="9">
        <f t="shared" si="3"/>
        <v>1.4927496930431572</v>
      </c>
      <c r="F148" s="9">
        <f t="shared" si="3"/>
        <v>1.4927496930431572</v>
      </c>
      <c r="G148" s="9">
        <f>G17/G18</f>
        <v>1.4927496930431572</v>
      </c>
      <c r="H148" s="22">
        <f t="shared" ref="H148:W148" si="4">H17/H18</f>
        <v>1.4311032036089255</v>
      </c>
      <c r="I148" s="9">
        <f t="shared" si="4"/>
        <v>1.547962068904261</v>
      </c>
      <c r="J148" s="9">
        <f t="shared" si="4"/>
        <v>1.7319700730321252</v>
      </c>
      <c r="K148" s="9">
        <f t="shared" si="4"/>
        <v>1.4362415709275964</v>
      </c>
      <c r="L148" s="22">
        <f t="shared" si="4"/>
        <v>1.726060337146309</v>
      </c>
      <c r="M148" s="9">
        <f t="shared" si="4"/>
        <v>2.1874640790878708</v>
      </c>
      <c r="N148" s="9">
        <f t="shared" si="4"/>
        <v>2.0155910716642604</v>
      </c>
      <c r="O148" s="9">
        <f t="shared" si="4"/>
        <v>1.7867022852587651</v>
      </c>
      <c r="P148" s="22">
        <f t="shared" si="4"/>
        <v>1.7498704987133951</v>
      </c>
      <c r="Q148" s="9">
        <f t="shared" si="4"/>
        <v>2.0425357280180907</v>
      </c>
      <c r="R148" s="9">
        <f t="shared" si="4"/>
        <v>2.0694943996042472</v>
      </c>
      <c r="S148" s="9">
        <f t="shared" si="4"/>
        <v>1.5059859432496356</v>
      </c>
      <c r="T148" s="22">
        <f t="shared" si="4"/>
        <v>1.4485496267802851</v>
      </c>
      <c r="U148" s="9">
        <f t="shared" si="4"/>
        <v>1.7029574156717155</v>
      </c>
      <c r="V148" s="9">
        <f t="shared" si="4"/>
        <v>1.7793337592703447</v>
      </c>
      <c r="W148" s="9">
        <f t="shared" si="4"/>
        <v>1.6078095150105502</v>
      </c>
      <c r="X148" s="220">
        <f t="shared" si="2"/>
        <v>1.6870315174060504</v>
      </c>
    </row>
    <row r="149" spans="2:24" s="207" customFormat="1" ht="18" thickBot="1">
      <c r="B149" s="208" t="s">
        <v>12</v>
      </c>
      <c r="C149" s="209" t="s">
        <v>35</v>
      </c>
      <c r="D149" s="9">
        <f t="shared" ref="D149:F149" si="5">D23/D24</f>
        <v>1.4069285036038159</v>
      </c>
      <c r="E149" s="9">
        <f t="shared" si="5"/>
        <v>1.2930048767592162</v>
      </c>
      <c r="F149" s="9">
        <f t="shared" si="5"/>
        <v>1.2530856507280195</v>
      </c>
      <c r="G149" s="9">
        <f>G23/G24</f>
        <v>1.2458743356137569</v>
      </c>
      <c r="H149" s="22">
        <f t="shared" ref="H149:W149" si="6">H23/H24</f>
        <v>1.1435033321053478</v>
      </c>
      <c r="I149" s="9">
        <f t="shared" si="6"/>
        <v>1.791616966724263</v>
      </c>
      <c r="J149" s="9">
        <f t="shared" si="6"/>
        <v>1.978229833546735</v>
      </c>
      <c r="K149" s="9">
        <f t="shared" si="6"/>
        <v>1.940418588950152</v>
      </c>
      <c r="L149" s="22">
        <f t="shared" si="6"/>
        <v>1.9751451140650773</v>
      </c>
      <c r="M149" s="9">
        <f>M23/M24</f>
        <v>2.1238981696711852</v>
      </c>
      <c r="N149" s="9">
        <f t="shared" si="6"/>
        <v>2.0708207745013967</v>
      </c>
      <c r="O149" s="9">
        <f t="shared" si="6"/>
        <v>2.4184174245762695</v>
      </c>
      <c r="P149" s="22">
        <f>P23/P24</f>
        <v>26.119520623733891</v>
      </c>
      <c r="Q149" s="9">
        <f t="shared" si="6"/>
        <v>1.9915484707752813</v>
      </c>
      <c r="R149" s="9">
        <f t="shared" si="6"/>
        <v>2.1274983743390354</v>
      </c>
      <c r="S149" s="9">
        <f t="shared" si="6"/>
        <v>1.5191301887644062</v>
      </c>
      <c r="T149" s="22">
        <f>T23/T24</f>
        <v>1.4169147038136247</v>
      </c>
      <c r="U149" s="9">
        <f t="shared" si="6"/>
        <v>1.3120848475050433</v>
      </c>
      <c r="V149" s="9">
        <f t="shared" si="6"/>
        <v>1.4523646311845333</v>
      </c>
      <c r="W149" s="9">
        <f t="shared" si="6"/>
        <v>1.7095298509422736</v>
      </c>
      <c r="X149" s="220">
        <f t="shared" si="2"/>
        <v>2.9144767630951662</v>
      </c>
    </row>
    <row r="150" spans="2:24" s="207" customFormat="1" ht="18" thickBot="1">
      <c r="B150" s="208" t="s">
        <v>13</v>
      </c>
      <c r="C150" s="209" t="s">
        <v>36</v>
      </c>
      <c r="D150" s="9">
        <f t="shared" ref="D150:F150" si="7">D29/D30</f>
        <v>0.471243499542705</v>
      </c>
      <c r="E150" s="9">
        <f t="shared" si="7"/>
        <v>0.471243499542705</v>
      </c>
      <c r="F150" s="9">
        <f t="shared" si="7"/>
        <v>0.471243499542705</v>
      </c>
      <c r="G150" s="9">
        <f>G29/G30</f>
        <v>0.471243499542705</v>
      </c>
      <c r="H150" s="22">
        <f t="shared" ref="H150:W150" si="8">H29/H30</f>
        <v>0.16076579924859624</v>
      </c>
      <c r="I150" s="9">
        <f t="shared" si="8"/>
        <v>7.2295947152202611E-2</v>
      </c>
      <c r="J150" s="9">
        <f t="shared" si="8"/>
        <v>5.0713728235881182E-2</v>
      </c>
      <c r="K150" s="9">
        <f t="shared" si="8"/>
        <v>3.4830765942347568E-2</v>
      </c>
      <c r="L150" s="22">
        <f t="shared" si="8"/>
        <v>3.3283362824955004E-2</v>
      </c>
      <c r="M150" s="9">
        <f>M29/M30</f>
        <v>3.1850191434202008E-2</v>
      </c>
      <c r="N150" s="9">
        <f t="shared" si="8"/>
        <v>2.7678292255377566E-2</v>
      </c>
      <c r="O150" s="9">
        <f t="shared" si="8"/>
        <v>2.5076305066265514E-2</v>
      </c>
      <c r="P150" s="22">
        <f t="shared" si="8"/>
        <v>2.8900801889296106E-2</v>
      </c>
      <c r="Q150" s="9">
        <f t="shared" si="8"/>
        <v>5.7070369349637023E-2</v>
      </c>
      <c r="R150" s="9">
        <f t="shared" si="8"/>
        <v>4.63543898256496E-2</v>
      </c>
      <c r="S150" s="9">
        <f t="shared" si="8"/>
        <v>3.8564816032336663E-2</v>
      </c>
      <c r="T150" s="22">
        <f t="shared" si="8"/>
        <v>5.3994256819100417E-2</v>
      </c>
      <c r="U150" s="9">
        <f t="shared" si="8"/>
        <v>4.3010687278944103E-2</v>
      </c>
      <c r="V150" s="9">
        <f t="shared" si="8"/>
        <v>3.1478969186840219E-2</v>
      </c>
      <c r="W150" s="9">
        <f t="shared" si="8"/>
        <v>3.8702887136708206E-2</v>
      </c>
      <c r="X150" s="220">
        <f t="shared" si="2"/>
        <v>0.13297727839245801</v>
      </c>
    </row>
    <row r="151" spans="2:24" s="207" customFormat="1" ht="18" thickBot="1">
      <c r="B151" s="208" t="s">
        <v>14</v>
      </c>
      <c r="C151" s="209" t="s">
        <v>37</v>
      </c>
      <c r="D151" s="9">
        <f t="shared" ref="D151:F151" si="9">D35/D36</f>
        <v>0.60938142650045346</v>
      </c>
      <c r="E151" s="9">
        <f t="shared" si="9"/>
        <v>0.42816214252019402</v>
      </c>
      <c r="F151" s="9">
        <f t="shared" si="9"/>
        <v>0.44685975574227405</v>
      </c>
      <c r="G151" s="9">
        <f>G35/G36</f>
        <v>0.34805080429783308</v>
      </c>
      <c r="H151" s="22">
        <f t="shared" ref="H151:W151" si="10">H35/H36</f>
        <v>0.2101033536901501</v>
      </c>
      <c r="I151" s="9">
        <f t="shared" si="10"/>
        <v>0.16291242340504733</v>
      </c>
      <c r="J151" s="9">
        <f t="shared" si="10"/>
        <v>0.15223364782852422</v>
      </c>
      <c r="K151" s="9">
        <f t="shared" si="10"/>
        <v>0.12492955585052921</v>
      </c>
      <c r="L151" s="22">
        <f t="shared" si="10"/>
        <v>0.10664028181904418</v>
      </c>
      <c r="M151" s="9">
        <f>M35/M36</f>
        <v>7.9827474927418859E-2</v>
      </c>
      <c r="N151" s="9">
        <f t="shared" si="10"/>
        <v>6.8664583407901048E-2</v>
      </c>
      <c r="O151" s="9">
        <f t="shared" si="10"/>
        <v>5.2973217567640979E-2</v>
      </c>
      <c r="P151" s="22">
        <f t="shared" si="10"/>
        <v>6.5125065225021053E-2</v>
      </c>
      <c r="Q151" s="9">
        <f t="shared" si="10"/>
        <v>0.17998489644388518</v>
      </c>
      <c r="R151" s="9">
        <f t="shared" si="10"/>
        <v>0.20679471939272212</v>
      </c>
      <c r="S151" s="9">
        <f>S35/S36</f>
        <v>0.47658517773028342</v>
      </c>
      <c r="T151" s="22">
        <f t="shared" si="10"/>
        <v>0.45299083320106365</v>
      </c>
      <c r="U151" s="9">
        <f t="shared" si="10"/>
        <v>0.50135317950159808</v>
      </c>
      <c r="V151" s="9">
        <f t="shared" si="10"/>
        <v>0.53354147838646515</v>
      </c>
      <c r="W151" s="9">
        <f t="shared" si="10"/>
        <v>0.56110353667181423</v>
      </c>
      <c r="X151" s="220">
        <f t="shared" si="2"/>
        <v>0.28841087770549317</v>
      </c>
    </row>
    <row r="152" spans="2:24" s="207" customFormat="1" ht="18" thickBot="1">
      <c r="B152" s="208" t="s">
        <v>15</v>
      </c>
      <c r="C152" s="209" t="s">
        <v>38</v>
      </c>
      <c r="D152" s="9">
        <f t="shared" ref="D152:F152" si="11">D41/D42</f>
        <v>1.5084442033890049</v>
      </c>
      <c r="E152" s="9">
        <f t="shared" si="11"/>
        <v>1.5084442033890049</v>
      </c>
      <c r="F152" s="9">
        <f t="shared" si="11"/>
        <v>1.5084442033890049</v>
      </c>
      <c r="G152" s="9">
        <f>G41/G42</f>
        <v>2.2826605013503194</v>
      </c>
      <c r="H152" s="22">
        <f t="shared" ref="H152:W152" si="12">H41/H42</f>
        <v>1.3841592742277271</v>
      </c>
      <c r="I152" s="9">
        <f t="shared" si="12"/>
        <v>1.2646867927563676</v>
      </c>
      <c r="J152" s="9">
        <f t="shared" si="12"/>
        <v>1.12692103492365</v>
      </c>
      <c r="K152" s="9">
        <f t="shared" si="12"/>
        <v>0.79942377242682172</v>
      </c>
      <c r="L152" s="22">
        <f t="shared" si="12"/>
        <v>0.87637727867675508</v>
      </c>
      <c r="M152" s="9">
        <f t="shared" si="12"/>
        <v>0.98242094041421835</v>
      </c>
      <c r="N152" s="9">
        <f t="shared" si="12"/>
        <v>1.0779798663191513</v>
      </c>
      <c r="O152" s="9">
        <f t="shared" si="12"/>
        <v>1.0062764419196226</v>
      </c>
      <c r="P152" s="22">
        <f t="shared" si="12"/>
        <v>0.77179799636073831</v>
      </c>
      <c r="Q152" s="9">
        <f t="shared" si="12"/>
        <v>1.480831422658996</v>
      </c>
      <c r="R152" s="9">
        <f t="shared" si="12"/>
        <v>1.5607335658120769</v>
      </c>
      <c r="S152" s="9">
        <f t="shared" si="12"/>
        <v>0.74632302869326494</v>
      </c>
      <c r="T152" s="22">
        <f t="shared" si="12"/>
        <v>0.76150895355003356</v>
      </c>
      <c r="U152" s="9">
        <f t="shared" si="12"/>
        <v>0.89170818723336787</v>
      </c>
      <c r="V152" s="9">
        <f t="shared" si="12"/>
        <v>1.0040643515256296</v>
      </c>
      <c r="W152" s="9">
        <f t="shared" si="12"/>
        <v>0.84611143708297487</v>
      </c>
      <c r="X152" s="220">
        <f t="shared" si="2"/>
        <v>1.1694658728049365</v>
      </c>
    </row>
    <row r="153" spans="2:24" s="207" customFormat="1" ht="18" thickBot="1">
      <c r="B153" s="208" t="s">
        <v>16</v>
      </c>
      <c r="C153" s="209" t="s">
        <v>39</v>
      </c>
      <c r="D153" s="9">
        <f t="shared" ref="D153:F153" si="13">D47/D48</f>
        <v>2.0840470618223081</v>
      </c>
      <c r="E153" s="9">
        <f t="shared" si="13"/>
        <v>2.0265677382597391</v>
      </c>
      <c r="F153" s="9">
        <f t="shared" si="13"/>
        <v>2.3221836994814407</v>
      </c>
      <c r="G153" s="9">
        <f>G47/G48</f>
        <v>1.0038868398072121</v>
      </c>
      <c r="H153" s="22">
        <f t="shared" ref="H153:L153" si="14">H47/H48</f>
        <v>1.3593787870995295</v>
      </c>
      <c r="I153" s="9">
        <f t="shared" si="14"/>
        <v>1.2477755930244834</v>
      </c>
      <c r="J153" s="9">
        <f t="shared" si="14"/>
        <v>1.426412342177759</v>
      </c>
      <c r="K153" s="9">
        <f t="shared" si="14"/>
        <v>1.1712078230074563</v>
      </c>
      <c r="L153" s="22">
        <f t="shared" si="14"/>
        <v>1.4443437544222728</v>
      </c>
      <c r="M153" s="9">
        <f>M47/M48</f>
        <v>1.3573432542155524</v>
      </c>
      <c r="N153" s="9">
        <f>N47/N48</f>
        <v>1.3274961882936545</v>
      </c>
      <c r="O153" s="9">
        <f t="shared" ref="O153:R153" si="15">O47/O48</f>
        <v>1.0984408973818769</v>
      </c>
      <c r="P153" s="22">
        <f t="shared" si="15"/>
        <v>1.1478047616703377</v>
      </c>
      <c r="Q153" s="9">
        <f t="shared" si="15"/>
        <v>1.1504238711508379</v>
      </c>
      <c r="R153" s="9">
        <f t="shared" si="15"/>
        <v>1.0424253673678154</v>
      </c>
      <c r="S153" s="9">
        <f>S47/S48</f>
        <v>0.46066890173646768</v>
      </c>
      <c r="T153" s="22">
        <f t="shared" ref="T153:W153" si="16">T47/T48</f>
        <v>0.44954326656899346</v>
      </c>
      <c r="U153" s="9">
        <f t="shared" si="16"/>
        <v>0.70458939811800603</v>
      </c>
      <c r="V153" s="9">
        <f t="shared" si="16"/>
        <v>0.7445554283003667</v>
      </c>
      <c r="W153" s="9">
        <f t="shared" si="16"/>
        <v>0.71712244066623942</v>
      </c>
      <c r="X153" s="220">
        <f t="shared" si="2"/>
        <v>1.2143108707286177</v>
      </c>
    </row>
    <row r="154" spans="2:24" s="207" customFormat="1" ht="18" thickBot="1">
      <c r="B154" s="208" t="s">
        <v>17</v>
      </c>
      <c r="C154" s="209" t="s">
        <v>40</v>
      </c>
      <c r="D154" s="9">
        <f t="shared" ref="D154:F154" si="17">D53/D54</f>
        <v>1.7495520559394857</v>
      </c>
      <c r="E154" s="9">
        <f t="shared" si="17"/>
        <v>1.7495520559394857</v>
      </c>
      <c r="F154" s="9">
        <f t="shared" si="17"/>
        <v>1.6739565989746772</v>
      </c>
      <c r="G154" s="9">
        <f>G53/G54</f>
        <v>1.1344939953226687</v>
      </c>
      <c r="H154" s="22">
        <f t="shared" ref="H154:W154" si="18">H53/H54</f>
        <v>1.0209874239468308</v>
      </c>
      <c r="I154" s="9">
        <f t="shared" si="18"/>
        <v>0.88021857430858486</v>
      </c>
      <c r="J154" s="9">
        <f t="shared" si="18"/>
        <v>0.7168576367678301</v>
      </c>
      <c r="K154" s="9">
        <f t="shared" si="18"/>
        <v>0.60797264521087102</v>
      </c>
      <c r="L154" s="22">
        <f t="shared" si="18"/>
        <v>1.4313126984559328</v>
      </c>
      <c r="M154" s="9">
        <f>M53/M54</f>
        <v>1.3753402637637777</v>
      </c>
      <c r="N154" s="9">
        <f t="shared" si="18"/>
        <v>1.3181286026800605</v>
      </c>
      <c r="O154" s="9">
        <f t="shared" si="18"/>
        <v>2.3116945429684956</v>
      </c>
      <c r="P154" s="22">
        <f t="shared" si="18"/>
        <v>2.1039050895306852</v>
      </c>
      <c r="Q154" s="9">
        <f t="shared" si="18"/>
        <v>1.7372676190377281</v>
      </c>
      <c r="R154" s="9">
        <f t="shared" si="18"/>
        <v>2.0230919967587662</v>
      </c>
      <c r="S154" s="9">
        <f>S53/S54</f>
        <v>2.9335805202514553</v>
      </c>
      <c r="T154" s="22">
        <f t="shared" si="18"/>
        <v>3.1488002569326223</v>
      </c>
      <c r="U154" s="9">
        <f t="shared" si="18"/>
        <v>4.2577258572677099</v>
      </c>
      <c r="V154" s="9">
        <f t="shared" si="18"/>
        <v>4.683594967016151</v>
      </c>
      <c r="W154" s="9">
        <f t="shared" si="18"/>
        <v>4.6850331004442474</v>
      </c>
      <c r="X154" s="220">
        <f t="shared" si="2"/>
        <v>2.0771533250759036</v>
      </c>
    </row>
    <row r="155" spans="2:24" s="207" customFormat="1" ht="18" thickBot="1">
      <c r="B155" s="205" t="s">
        <v>18</v>
      </c>
      <c r="C155" s="209" t="s">
        <v>41</v>
      </c>
      <c r="D155" s="9">
        <f t="shared" ref="D155:F155" si="19">D59/D60</f>
        <v>1.088288919508186</v>
      </c>
      <c r="E155" s="9">
        <f t="shared" si="19"/>
        <v>0.56695836347644346</v>
      </c>
      <c r="F155" s="9">
        <f t="shared" si="19"/>
        <v>1.3574188909334803</v>
      </c>
      <c r="G155" s="9">
        <f>G59/G60</f>
        <v>0.58038808329334612</v>
      </c>
      <c r="H155" s="22">
        <f t="shared" ref="H155:W155" si="20">H59/H60</f>
        <v>0.24998176000353795</v>
      </c>
      <c r="I155" s="9">
        <f t="shared" si="20"/>
        <v>0.28388167427488459</v>
      </c>
      <c r="J155" s="9">
        <f t="shared" si="20"/>
        <v>0.26934161216278746</v>
      </c>
      <c r="K155" s="9">
        <f t="shared" si="20"/>
        <v>0.30211904631476205</v>
      </c>
      <c r="L155" s="22">
        <f>L59/L60</f>
        <v>0.28256526381207131</v>
      </c>
      <c r="M155" s="9">
        <f t="shared" si="20"/>
        <v>0.25014844955966337</v>
      </c>
      <c r="N155" s="9">
        <f t="shared" si="20"/>
        <v>0.2974875710846932</v>
      </c>
      <c r="O155" s="9">
        <f t="shared" si="20"/>
        <v>0.28877793775019611</v>
      </c>
      <c r="P155" s="22">
        <f t="shared" si="20"/>
        <v>0.30910428111164362</v>
      </c>
      <c r="Q155" s="9">
        <f t="shared" si="20"/>
        <v>0.32355950607306522</v>
      </c>
      <c r="R155" s="9">
        <f t="shared" si="20"/>
        <v>0.3391878444918805</v>
      </c>
      <c r="S155" s="9">
        <f t="shared" si="20"/>
        <v>1.1879721139576209</v>
      </c>
      <c r="T155" s="22">
        <f t="shared" si="20"/>
        <v>1.1647235909208939</v>
      </c>
      <c r="U155" s="9">
        <f t="shared" si="20"/>
        <v>1.1096120302945029</v>
      </c>
      <c r="V155" s="9">
        <f t="shared" si="20"/>
        <v>3.2038349136271127</v>
      </c>
      <c r="W155" s="9">
        <f t="shared" si="20"/>
        <v>0.42354756447208325</v>
      </c>
      <c r="X155" s="220">
        <f t="shared" si="2"/>
        <v>0.69394497085614293</v>
      </c>
    </row>
    <row r="156" spans="2:24" s="207" customFormat="1" ht="18" thickBot="1">
      <c r="B156" s="208" t="s">
        <v>19</v>
      </c>
      <c r="C156" s="209" t="s">
        <v>42</v>
      </c>
      <c r="D156" s="9">
        <f t="shared" ref="D156:F156" si="21">D65/D66</f>
        <v>1.1185124289813271</v>
      </c>
      <c r="E156" s="9">
        <f t="shared" si="21"/>
        <v>1.1185124289813271</v>
      </c>
      <c r="F156" s="9">
        <f t="shared" si="21"/>
        <v>1.2006562375894685</v>
      </c>
      <c r="G156" s="9">
        <f>G65/G66</f>
        <v>1.2684284613394321</v>
      </c>
      <c r="H156" s="22">
        <f t="shared" ref="H156:W156" si="22">H65/H66</f>
        <v>1.2386548619917066</v>
      </c>
      <c r="I156" s="9">
        <f t="shared" si="22"/>
        <v>1.2571572877697632</v>
      </c>
      <c r="J156" s="9">
        <f t="shared" si="22"/>
        <v>1.3076849935433696</v>
      </c>
      <c r="K156" s="9">
        <f t="shared" si="22"/>
        <v>1.2944742552517667</v>
      </c>
      <c r="L156" s="22">
        <f t="shared" si="22"/>
        <v>1.4089384196000612</v>
      </c>
      <c r="M156" s="9">
        <f t="shared" si="22"/>
        <v>1.3642276268308575</v>
      </c>
      <c r="N156" s="9">
        <f t="shared" si="22"/>
        <v>1.5020272668112502</v>
      </c>
      <c r="O156" s="9">
        <f t="shared" si="22"/>
        <v>1.4477222453218528</v>
      </c>
      <c r="P156" s="22">
        <f t="shared" si="22"/>
        <v>1.9390885032666951</v>
      </c>
      <c r="Q156" s="9">
        <f>Q65/Q66</f>
        <v>1.7420140033290594</v>
      </c>
      <c r="R156" s="9">
        <f t="shared" si="22"/>
        <v>2.0171090618809218</v>
      </c>
      <c r="S156" s="9">
        <f t="shared" si="22"/>
        <v>2.0443406842726484</v>
      </c>
      <c r="T156" s="22">
        <f t="shared" si="22"/>
        <v>2.370425463601507</v>
      </c>
      <c r="U156" s="9">
        <f t="shared" si="22"/>
        <v>2.0834689186372066</v>
      </c>
      <c r="V156" s="9">
        <f t="shared" si="22"/>
        <v>2.1993643678864245</v>
      </c>
      <c r="W156" s="9">
        <f t="shared" si="22"/>
        <v>2.4006933649947308</v>
      </c>
      <c r="X156" s="220">
        <f t="shared" si="2"/>
        <v>1.616175044094069</v>
      </c>
    </row>
    <row r="157" spans="2:24" s="207" customFormat="1" ht="18" thickBot="1">
      <c r="B157" s="208" t="s">
        <v>20</v>
      </c>
      <c r="C157" s="209" t="s">
        <v>43</v>
      </c>
      <c r="D157" s="9">
        <f t="shared" ref="D157:F157" si="23">D71/D72</f>
        <v>0.25011170871458877</v>
      </c>
      <c r="E157" s="9">
        <f t="shared" si="23"/>
        <v>0.31461031548403506</v>
      </c>
      <c r="F157" s="9">
        <f t="shared" si="23"/>
        <v>0.18250258291993085</v>
      </c>
      <c r="G157" s="9">
        <f>G71/G72</f>
        <v>0.29085996214888449</v>
      </c>
      <c r="H157" s="22">
        <f t="shared" ref="H157:W157" si="24">H71/H72</f>
        <v>0.30696513123753483</v>
      </c>
      <c r="I157" s="9">
        <f t="shared" si="24"/>
        <v>0.28672807873709205</v>
      </c>
      <c r="J157" s="9">
        <f t="shared" si="24"/>
        <v>0.27233971056567391</v>
      </c>
      <c r="K157" s="9">
        <f t="shared" si="24"/>
        <v>0.27480346982987686</v>
      </c>
      <c r="L157" s="22">
        <f t="shared" si="24"/>
        <v>1.1901115047636741</v>
      </c>
      <c r="M157" s="9">
        <f t="shared" si="24"/>
        <v>1.3955378314425195</v>
      </c>
      <c r="N157" s="9">
        <f t="shared" si="24"/>
        <v>2.0059633832573893</v>
      </c>
      <c r="O157" s="9">
        <f t="shared" si="24"/>
        <v>6.3207433541282061</v>
      </c>
      <c r="P157" s="22">
        <f>P71/P72</f>
        <v>7.6512680400975022</v>
      </c>
      <c r="Q157" s="9">
        <f t="shared" si="24"/>
        <v>8.5063209728817863</v>
      </c>
      <c r="R157" s="9">
        <f t="shared" si="24"/>
        <v>7.8154986331379064</v>
      </c>
      <c r="S157" s="9">
        <f t="shared" si="24"/>
        <v>6.5646559558851321</v>
      </c>
      <c r="T157" s="22">
        <f t="shared" si="24"/>
        <v>7.7693309048371226</v>
      </c>
      <c r="U157" s="9">
        <f t="shared" si="24"/>
        <v>7.9899542916566793</v>
      </c>
      <c r="V157" s="9">
        <f t="shared" si="24"/>
        <v>7.847189653216974</v>
      </c>
      <c r="W157" s="9">
        <f t="shared" si="24"/>
        <v>7.5680783757438181</v>
      </c>
      <c r="X157" s="220">
        <f t="shared" si="2"/>
        <v>3.7401786930343173</v>
      </c>
    </row>
    <row r="158" spans="2:24" s="207" customFormat="1" ht="18" thickBot="1">
      <c r="B158" s="208" t="s">
        <v>21</v>
      </c>
      <c r="C158" s="209" t="s">
        <v>44</v>
      </c>
      <c r="D158" s="9">
        <f t="shared" ref="D158:F158" si="25">D77/D78</f>
        <v>0.52842548156475322</v>
      </c>
      <c r="E158" s="9">
        <f t="shared" si="25"/>
        <v>0.52842548156475322</v>
      </c>
      <c r="F158" s="9">
        <f t="shared" si="25"/>
        <v>0.52842548156475322</v>
      </c>
      <c r="G158" s="9">
        <f>G77/G78</f>
        <v>0.52842548156475322</v>
      </c>
      <c r="H158" s="22">
        <f t="shared" ref="H158:W158" si="26">H77/H78</f>
        <v>5.0005014930415641E-2</v>
      </c>
      <c r="I158" s="9">
        <f t="shared" si="26"/>
        <v>0.63692524722712707</v>
      </c>
      <c r="J158" s="9">
        <f t="shared" si="26"/>
        <v>0.5172771798024639</v>
      </c>
      <c r="K158" s="9">
        <f t="shared" si="26"/>
        <v>0.45434748415481646</v>
      </c>
      <c r="L158" s="22">
        <f t="shared" si="26"/>
        <v>0.43306487061183147</v>
      </c>
      <c r="M158" s="9">
        <f t="shared" si="26"/>
        <v>0.84776209729898566</v>
      </c>
      <c r="N158" s="9">
        <f t="shared" si="26"/>
        <v>0.86969326857003004</v>
      </c>
      <c r="O158" s="9">
        <f t="shared" si="26"/>
        <v>1.1417295431272509</v>
      </c>
      <c r="P158" s="22">
        <f t="shared" si="26"/>
        <v>1.4441383110621298</v>
      </c>
      <c r="Q158" s="9">
        <f t="shared" si="26"/>
        <v>1.4441383110621298</v>
      </c>
      <c r="R158" s="9">
        <f t="shared" si="26"/>
        <v>2.4407774718329587</v>
      </c>
      <c r="S158" s="9">
        <f t="shared" si="26"/>
        <v>1.7620811290971066</v>
      </c>
      <c r="T158" s="22">
        <f t="shared" si="26"/>
        <v>2.3165414617016871</v>
      </c>
      <c r="U158" s="9">
        <f t="shared" si="26"/>
        <v>2.034557278091941</v>
      </c>
      <c r="V158" s="9">
        <f t="shared" si="26"/>
        <v>2.4327667603681311</v>
      </c>
      <c r="W158" s="9">
        <f t="shared" si="26"/>
        <v>2.2165848147198175</v>
      </c>
      <c r="X158" s="220">
        <f t="shared" si="2"/>
        <v>1.157804608495892</v>
      </c>
    </row>
    <row r="159" spans="2:24" s="207" customFormat="1" ht="18" thickBot="1">
      <c r="B159" s="208" t="s">
        <v>22</v>
      </c>
      <c r="C159" s="209" t="s">
        <v>45</v>
      </c>
      <c r="D159" s="9">
        <f t="shared" ref="D159:F159" si="27">D83/D84</f>
        <v>0.40362872681364836</v>
      </c>
      <c r="E159" s="9">
        <f t="shared" si="27"/>
        <v>0.42347117713173787</v>
      </c>
      <c r="F159" s="9">
        <f t="shared" si="27"/>
        <v>0.44592744825431119</v>
      </c>
      <c r="G159" s="9">
        <f>G83/G84</f>
        <v>0.51580257878338975</v>
      </c>
      <c r="H159" s="22">
        <f t="shared" ref="H159:W159" si="28">H83/H84</f>
        <v>0.42453643125723578</v>
      </c>
      <c r="I159" s="9">
        <f t="shared" si="28"/>
        <v>0.48249533036132969</v>
      </c>
      <c r="J159" s="9">
        <f t="shared" si="28"/>
        <v>0.38702307662257551</v>
      </c>
      <c r="K159" s="9">
        <f t="shared" si="28"/>
        <v>0.36850712976609712</v>
      </c>
      <c r="L159" s="22">
        <f t="shared" si="28"/>
        <v>0.33116342324742054</v>
      </c>
      <c r="M159" s="9">
        <f t="shared" si="28"/>
        <v>0.44456397537769887</v>
      </c>
      <c r="N159" s="9">
        <f t="shared" si="28"/>
        <v>0.43247417518225295</v>
      </c>
      <c r="O159" s="9">
        <f t="shared" si="28"/>
        <v>0.42279250871935725</v>
      </c>
      <c r="P159" s="22">
        <f t="shared" si="28"/>
        <v>0.82834935144752309</v>
      </c>
      <c r="Q159" s="9">
        <f t="shared" si="28"/>
        <v>1.0329993455894715</v>
      </c>
      <c r="R159" s="9">
        <f t="shared" si="28"/>
        <v>3.2167357201949147</v>
      </c>
      <c r="S159" s="9">
        <f t="shared" si="28"/>
        <v>1.5367187574256882</v>
      </c>
      <c r="T159" s="22">
        <f t="shared" si="28"/>
        <v>1.4034819984048352</v>
      </c>
      <c r="U159" s="9">
        <f t="shared" si="28"/>
        <v>1.3711173207650436</v>
      </c>
      <c r="V159" s="9">
        <f t="shared" si="28"/>
        <v>1.309930898025472</v>
      </c>
      <c r="W159" s="9">
        <f t="shared" si="28"/>
        <v>2.9040843167056933</v>
      </c>
      <c r="X159" s="220">
        <f t="shared" si="2"/>
        <v>0.93429018450378487</v>
      </c>
    </row>
    <row r="160" spans="2:24" s="207" customFormat="1" ht="18" thickBot="1">
      <c r="B160" s="208" t="s">
        <v>23</v>
      </c>
      <c r="C160" s="209" t="s">
        <v>46</v>
      </c>
      <c r="D160" s="9">
        <f t="shared" ref="D160:F160" si="29">D89/D90</f>
        <v>0.89521070810423808</v>
      </c>
      <c r="E160" s="9">
        <f t="shared" si="29"/>
        <v>0.89521070810423808</v>
      </c>
      <c r="F160" s="9">
        <f t="shared" si="29"/>
        <v>0.89521070810423808</v>
      </c>
      <c r="G160" s="9">
        <f>G89/G90</f>
        <v>1.6949776631244935</v>
      </c>
      <c r="H160" s="22">
        <f t="shared" ref="H160:W160" si="30">H89/H90</f>
        <v>1.4455653325268323</v>
      </c>
      <c r="I160" s="9">
        <f t="shared" si="30"/>
        <v>0.48282849894017627</v>
      </c>
      <c r="J160" s="9">
        <f t="shared" si="30"/>
        <v>1.2037617524943409</v>
      </c>
      <c r="K160" s="9">
        <f t="shared" si="30"/>
        <v>1.1021629220239402</v>
      </c>
      <c r="L160" s="22">
        <f t="shared" si="30"/>
        <v>1.1478162440910344</v>
      </c>
      <c r="M160" s="9">
        <f t="shared" si="30"/>
        <v>1.0826259368702194</v>
      </c>
      <c r="N160" s="9">
        <f t="shared" si="30"/>
        <v>1.1804690900593857</v>
      </c>
      <c r="O160" s="9">
        <f t="shared" si="30"/>
        <v>1.0266330369899566</v>
      </c>
      <c r="P160" s="22">
        <f t="shared" si="30"/>
        <v>0.99771610037741809</v>
      </c>
      <c r="Q160" s="9">
        <f t="shared" si="30"/>
        <v>1.0914918904930031</v>
      </c>
      <c r="R160" s="9">
        <f t="shared" si="30"/>
        <v>1.1590662173955435</v>
      </c>
      <c r="S160" s="9">
        <f t="shared" si="30"/>
        <v>0.49220467579625149</v>
      </c>
      <c r="T160" s="22">
        <f t="shared" si="30"/>
        <v>0.27191832997712012</v>
      </c>
      <c r="U160" s="9">
        <f t="shared" si="30"/>
        <v>0.33450025738394668</v>
      </c>
      <c r="V160" s="9">
        <f t="shared" si="30"/>
        <v>0.32281081915788379</v>
      </c>
      <c r="W160" s="9">
        <f t="shared" si="30"/>
        <v>0.30648147485523969</v>
      </c>
      <c r="X160" s="220">
        <f t="shared" si="2"/>
        <v>0.90143311834347484</v>
      </c>
    </row>
    <row r="161" spans="1:24" s="207" customFormat="1" ht="18" thickBot="1">
      <c r="B161" s="208" t="s">
        <v>24</v>
      </c>
      <c r="C161" s="209" t="s">
        <v>47</v>
      </c>
      <c r="D161" s="9">
        <f t="shared" ref="D161:F161" si="31">D95/D96</f>
        <v>0.8656055362176549</v>
      </c>
      <c r="E161" s="9">
        <f t="shared" si="31"/>
        <v>0.8656055362176549</v>
      </c>
      <c r="F161" s="9">
        <f t="shared" si="31"/>
        <v>0.8656055362176549</v>
      </c>
      <c r="G161" s="9">
        <f>G95/G96</f>
        <v>1.131739024118591</v>
      </c>
      <c r="H161" s="22">
        <f t="shared" ref="H161:W161" si="32">H95/H96</f>
        <v>0.76811121520903269</v>
      </c>
      <c r="I161" s="9">
        <f t="shared" si="32"/>
        <v>0.59380416391345447</v>
      </c>
      <c r="J161" s="9">
        <f t="shared" si="32"/>
        <v>0.70050726424477849</v>
      </c>
      <c r="K161" s="9">
        <f t="shared" si="32"/>
        <v>0.66001825458695929</v>
      </c>
      <c r="L161" s="22">
        <f t="shared" si="32"/>
        <v>0.58878869963879688</v>
      </c>
      <c r="M161" s="9">
        <f t="shared" si="32"/>
        <v>0.53533808897540047</v>
      </c>
      <c r="N161" s="9">
        <f t="shared" si="32"/>
        <v>0.73098314792061947</v>
      </c>
      <c r="O161" s="9">
        <f t="shared" si="32"/>
        <v>0.6470720112414502</v>
      </c>
      <c r="P161" s="22">
        <f t="shared" si="32"/>
        <v>0.74671644329637521</v>
      </c>
      <c r="Q161" s="9">
        <f t="shared" si="32"/>
        <v>0.68040552097776652</v>
      </c>
      <c r="R161" s="9">
        <f t="shared" si="32"/>
        <v>0.893972481380227</v>
      </c>
      <c r="S161" s="9">
        <f t="shared" si="32"/>
        <v>8.2442227025648798</v>
      </c>
      <c r="T161" s="22">
        <f t="shared" si="32"/>
        <v>0.87464991824136795</v>
      </c>
      <c r="U161" s="9">
        <f t="shared" si="32"/>
        <v>0.96415687423166707</v>
      </c>
      <c r="V161" s="9">
        <f t="shared" si="32"/>
        <v>1.1184799357990372</v>
      </c>
      <c r="W161" s="9">
        <f t="shared" si="32"/>
        <v>1.1667529165071653</v>
      </c>
      <c r="X161" s="220">
        <f t="shared" si="2"/>
        <v>1.1821267635750266</v>
      </c>
    </row>
    <row r="162" spans="1:24" s="207" customFormat="1" ht="18" thickBot="1">
      <c r="B162" s="208" t="s">
        <v>25</v>
      </c>
      <c r="C162" s="209" t="s">
        <v>48</v>
      </c>
      <c r="D162" s="9">
        <f t="shared" ref="D162:F162" si="33">D101/D102</f>
        <v>9.8078587863294935</v>
      </c>
      <c r="E162" s="9">
        <f t="shared" si="33"/>
        <v>9.8078587863294935</v>
      </c>
      <c r="F162" s="9">
        <f t="shared" si="33"/>
        <v>13.034491088179506</v>
      </c>
      <c r="G162" s="9">
        <f>G101/G102</f>
        <v>11.721850882689042</v>
      </c>
      <c r="H162" s="22">
        <f t="shared" ref="H162:W162" si="34">H101/H102</f>
        <v>12.489903483968021</v>
      </c>
      <c r="I162" s="9">
        <f t="shared" si="34"/>
        <v>4.1693290124553455</v>
      </c>
      <c r="J162" s="9">
        <f t="shared" si="34"/>
        <v>4.7297149424020679</v>
      </c>
      <c r="K162" s="9">
        <f t="shared" si="34"/>
        <v>4.0698805744109814</v>
      </c>
      <c r="L162" s="22">
        <f t="shared" si="34"/>
        <v>4.375296125218834</v>
      </c>
      <c r="M162" s="9">
        <f t="shared" si="34"/>
        <v>3.9208155466782277</v>
      </c>
      <c r="N162" s="9">
        <f t="shared" si="34"/>
        <v>4.5308934318151959</v>
      </c>
      <c r="O162" s="9">
        <f t="shared" si="34"/>
        <v>3.0568101191678068</v>
      </c>
      <c r="P162" s="22">
        <f t="shared" si="34"/>
        <v>3.9819597799666129</v>
      </c>
      <c r="Q162" s="9">
        <f t="shared" si="34"/>
        <v>3.324750983817331</v>
      </c>
      <c r="R162" s="9">
        <f t="shared" si="34"/>
        <v>5.6328796649634088</v>
      </c>
      <c r="S162" s="9">
        <f t="shared" si="34"/>
        <v>2.7171279238389716</v>
      </c>
      <c r="T162" s="22">
        <f t="shared" si="34"/>
        <v>3.4897653404367746</v>
      </c>
      <c r="U162" s="9">
        <f t="shared" si="34"/>
        <v>4.2924015015903061</v>
      </c>
      <c r="V162" s="9">
        <f t="shared" si="34"/>
        <v>3.5016974760935828</v>
      </c>
      <c r="W162" s="9">
        <f t="shared" si="34"/>
        <v>2.7683845829678764</v>
      </c>
      <c r="X162" s="220">
        <f t="shared" si="2"/>
        <v>5.771183501665945</v>
      </c>
    </row>
    <row r="163" spans="1:24" s="207" customFormat="1" ht="18" thickBot="1">
      <c r="B163" s="208" t="s">
        <v>26</v>
      </c>
      <c r="C163" s="209" t="s">
        <v>49</v>
      </c>
      <c r="D163" s="9">
        <f t="shared" ref="D163:F163" si="35">D107/D108</f>
        <v>0.29385941499272294</v>
      </c>
      <c r="E163" s="9">
        <f t="shared" si="35"/>
        <v>0.36315672925272913</v>
      </c>
      <c r="F163" s="9">
        <f t="shared" si="35"/>
        <v>0.27572523921801084</v>
      </c>
      <c r="G163" s="9">
        <f>G107/G108</f>
        <v>0.24300485016708945</v>
      </c>
      <c r="H163" s="22">
        <f t="shared" ref="H163:W163" si="36">H107/H108</f>
        <v>0.2759813915130751</v>
      </c>
      <c r="I163" s="9">
        <f t="shared" si="36"/>
        <v>0.32315660763794979</v>
      </c>
      <c r="J163" s="9">
        <f t="shared" si="36"/>
        <v>0.3639793455265381</v>
      </c>
      <c r="K163" s="9">
        <f t="shared" si="36"/>
        <v>0.21853663723878694</v>
      </c>
      <c r="L163" s="22">
        <f t="shared" si="36"/>
        <v>0.37231637033178822</v>
      </c>
      <c r="M163" s="9">
        <f t="shared" si="36"/>
        <v>0.40178335996305725</v>
      </c>
      <c r="N163" s="9">
        <f t="shared" si="36"/>
        <v>0.35309315203798175</v>
      </c>
      <c r="O163" s="9">
        <f t="shared" si="36"/>
        <v>0.32015757484399737</v>
      </c>
      <c r="P163" s="22">
        <f t="shared" si="36"/>
        <v>0.56695322001538617</v>
      </c>
      <c r="Q163" s="9">
        <f t="shared" si="36"/>
        <v>0.39363326603299653</v>
      </c>
      <c r="R163" s="9">
        <f t="shared" si="36"/>
        <v>0.41638630479493544</v>
      </c>
      <c r="S163" s="9">
        <f t="shared" si="36"/>
        <v>0.3895118485511137</v>
      </c>
      <c r="T163" s="22">
        <f t="shared" si="36"/>
        <v>1.068460713931485</v>
      </c>
      <c r="U163" s="9">
        <f t="shared" si="36"/>
        <v>0.97683734284491441</v>
      </c>
      <c r="V163" s="9">
        <f t="shared" si="36"/>
        <v>0.91668242364705566</v>
      </c>
      <c r="W163" s="9">
        <f t="shared" si="36"/>
        <v>0.67267112643472937</v>
      </c>
      <c r="X163" s="220">
        <f t="shared" si="2"/>
        <v>0.46029434594881707</v>
      </c>
    </row>
    <row r="164" spans="1:24" s="207" customFormat="1" ht="18" thickBot="1">
      <c r="B164" s="208" t="s">
        <v>27</v>
      </c>
      <c r="C164" s="209" t="s">
        <v>50</v>
      </c>
      <c r="D164" s="9">
        <f t="shared" ref="D164:F164" si="37">D113/D114</f>
        <v>2.8694915864668427</v>
      </c>
      <c r="E164" s="9">
        <f t="shared" si="37"/>
        <v>5.6656707107574364</v>
      </c>
      <c r="F164" s="9">
        <f t="shared" si="37"/>
        <v>5.4297196357771025</v>
      </c>
      <c r="G164" s="9">
        <f>G113/G114</f>
        <v>3.8760793232157047</v>
      </c>
      <c r="H164" s="22">
        <f t="shared" ref="H164:W164" si="38">H113/H114</f>
        <v>3.34942450922295</v>
      </c>
      <c r="I164" s="9">
        <f t="shared" si="38"/>
        <v>3.0191798989269296</v>
      </c>
      <c r="J164" s="9">
        <f t="shared" si="38"/>
        <v>3.1693678570741377</v>
      </c>
      <c r="K164" s="9">
        <f t="shared" si="38"/>
        <v>2.8612024923912394</v>
      </c>
      <c r="L164" s="22">
        <f t="shared" si="38"/>
        <v>2.6940012542271816</v>
      </c>
      <c r="M164" s="9">
        <f t="shared" si="38"/>
        <v>2.6383559237187169</v>
      </c>
      <c r="N164" s="9">
        <f t="shared" si="38"/>
        <v>3.1191597958114512</v>
      </c>
      <c r="O164" s="9">
        <f t="shared" si="38"/>
        <v>3.0649466223898334</v>
      </c>
      <c r="P164" s="22">
        <f t="shared" si="38"/>
        <v>3.2373520102081486</v>
      </c>
      <c r="Q164" s="9">
        <f>Q113/Q114</f>
        <v>3.2373520102081486</v>
      </c>
      <c r="R164" s="9">
        <f t="shared" si="38"/>
        <v>3.0403142805244694</v>
      </c>
      <c r="S164" s="9">
        <f t="shared" si="38"/>
        <v>2.6003101842121876</v>
      </c>
      <c r="T164" s="22">
        <f t="shared" si="38"/>
        <v>2.5036762132616301</v>
      </c>
      <c r="U164" s="9">
        <f t="shared" si="38"/>
        <v>2.3277395189474994</v>
      </c>
      <c r="V164" s="9">
        <f t="shared" si="38"/>
        <v>2.04197567184969</v>
      </c>
      <c r="W164" s="9">
        <f t="shared" si="38"/>
        <v>1.7722757429303209</v>
      </c>
      <c r="X164" s="220">
        <f t="shared" si="2"/>
        <v>3.1258797621060812</v>
      </c>
    </row>
    <row r="165" spans="1:24" s="207" customFormat="1" ht="18" thickBot="1">
      <c r="B165" s="210" t="s">
        <v>28</v>
      </c>
      <c r="C165" s="209" t="s">
        <v>51</v>
      </c>
      <c r="D165" s="9">
        <f t="shared" ref="D165:F165" si="39">D119/D120</f>
        <v>1.0874751429231577</v>
      </c>
      <c r="E165" s="9">
        <f t="shared" si="39"/>
        <v>1.0874751429231577</v>
      </c>
      <c r="F165" s="9">
        <f t="shared" si="39"/>
        <v>1.0874751429231577</v>
      </c>
      <c r="G165" s="9">
        <f>G119/G120</f>
        <v>1.0047558440965609</v>
      </c>
      <c r="H165" s="22">
        <f t="shared" ref="H165:V165" si="40">H119/H120</f>
        <v>1.0271527742894162</v>
      </c>
      <c r="I165" s="9">
        <f t="shared" si="40"/>
        <v>1.0649032316861313</v>
      </c>
      <c r="J165" s="9">
        <f t="shared" si="40"/>
        <v>1.0258544539469341</v>
      </c>
      <c r="K165" s="9">
        <f t="shared" si="40"/>
        <v>0.76135172914655858</v>
      </c>
      <c r="L165" s="22">
        <f t="shared" si="40"/>
        <v>0.38029408978098772</v>
      </c>
      <c r="M165" s="9">
        <f t="shared" si="40"/>
        <v>0.50681271036350306</v>
      </c>
      <c r="N165" s="9">
        <f t="shared" si="40"/>
        <v>0.42514436994941635</v>
      </c>
      <c r="O165" s="9">
        <f t="shared" si="40"/>
        <v>0.53463746015758307</v>
      </c>
      <c r="P165" s="22">
        <f t="shared" si="40"/>
        <v>0.69489871675128378</v>
      </c>
      <c r="Q165" s="9">
        <f>Q119/Q120</f>
        <v>0.62115119937457652</v>
      </c>
      <c r="R165" s="9">
        <f t="shared" si="40"/>
        <v>5.4172911629527365E-2</v>
      </c>
      <c r="S165" s="9">
        <f t="shared" si="40"/>
        <v>0.66246513313697564</v>
      </c>
      <c r="T165" s="22">
        <f t="shared" si="40"/>
        <v>0.66441460910172545</v>
      </c>
      <c r="U165" s="9">
        <f t="shared" si="40"/>
        <v>0.64169724489458502</v>
      </c>
      <c r="V165" s="9">
        <f t="shared" si="40"/>
        <v>0.59904731855796722</v>
      </c>
      <c r="W165" s="9">
        <v>0.59904731855796722</v>
      </c>
      <c r="X165" s="220">
        <f t="shared" si="2"/>
        <v>0.7265113272095588</v>
      </c>
    </row>
    <row r="166" spans="1:24" s="207" customFormat="1" ht="18" thickBot="1">
      <c r="B166" s="208" t="s">
        <v>29</v>
      </c>
      <c r="C166" s="209" t="s">
        <v>52</v>
      </c>
      <c r="D166" s="9">
        <f t="shared" ref="D166:F166" si="41">D125/D126</f>
        <v>0.16310474912705275</v>
      </c>
      <c r="E166" s="9">
        <f t="shared" si="41"/>
        <v>0.16310474912705275</v>
      </c>
      <c r="F166" s="9">
        <f t="shared" si="41"/>
        <v>0.15752827719368948</v>
      </c>
      <c r="G166" s="9">
        <f>G125/G126</f>
        <v>0.13321685952589776</v>
      </c>
      <c r="H166" s="22">
        <f t="shared" ref="H166:W166" si="42">H125/H126</f>
        <v>0.13901288673297227</v>
      </c>
      <c r="I166" s="9">
        <f t="shared" si="42"/>
        <v>7.8661326236779142E-2</v>
      </c>
      <c r="J166" s="9">
        <f t="shared" si="42"/>
        <v>0.11113116616048252</v>
      </c>
      <c r="K166" s="9">
        <f t="shared" si="42"/>
        <v>0.11193594969781591</v>
      </c>
      <c r="L166" s="22">
        <f t="shared" si="42"/>
        <v>0.14487489437045981</v>
      </c>
      <c r="M166" s="9">
        <f t="shared" si="42"/>
        <v>0.11747560128205253</v>
      </c>
      <c r="N166" s="9">
        <f t="shared" si="42"/>
        <v>0.14331749729020427</v>
      </c>
      <c r="O166" s="9">
        <f t="shared" si="42"/>
        <v>8.3970231877589674E-2</v>
      </c>
      <c r="P166" s="22">
        <f>P125/P126</f>
        <v>9.904067206604622E-2</v>
      </c>
      <c r="Q166" s="9">
        <f t="shared" si="42"/>
        <v>7.3134412111043934E-2</v>
      </c>
      <c r="R166" s="9">
        <f t="shared" si="42"/>
        <v>7.8470843062114465E-2</v>
      </c>
      <c r="S166" s="9">
        <f t="shared" si="42"/>
        <v>0.14074072562719886</v>
      </c>
      <c r="T166" s="22">
        <f t="shared" si="42"/>
        <v>0.14664343993548604</v>
      </c>
      <c r="U166" s="9">
        <f t="shared" si="42"/>
        <v>0.13056729030391701</v>
      </c>
      <c r="V166" s="9">
        <f t="shared" si="42"/>
        <v>0.11106339601777585</v>
      </c>
      <c r="W166" s="9">
        <f t="shared" si="42"/>
        <v>0.10328717698489373</v>
      </c>
      <c r="X166" s="220">
        <f t="shared" si="2"/>
        <v>0.12151410723652625</v>
      </c>
    </row>
    <row r="167" spans="1:24" s="207" customFormat="1" ht="18" thickBot="1">
      <c r="B167" s="208" t="s">
        <v>30</v>
      </c>
      <c r="C167" s="209" t="s">
        <v>53</v>
      </c>
      <c r="D167" s="9">
        <f>D131/D132</f>
        <v>0.86335888678465722</v>
      </c>
      <c r="E167" s="9">
        <f>E131/E132</f>
        <v>0.79612294823596164</v>
      </c>
      <c r="F167" s="9">
        <f>F131/F132</f>
        <v>0.87731744083933949</v>
      </c>
      <c r="G167" s="9">
        <f>G131/G132</f>
        <v>0.84362692086165192</v>
      </c>
      <c r="H167" s="22">
        <f t="shared" ref="H167:W167" si="43">H131/H132</f>
        <v>0.69221419479643664</v>
      </c>
      <c r="I167" s="9">
        <f t="shared" si="43"/>
        <v>0.90314019193397777</v>
      </c>
      <c r="J167" s="9">
        <f t="shared" si="43"/>
        <v>0.82635962597935131</v>
      </c>
      <c r="K167" s="9">
        <f t="shared" si="43"/>
        <v>0.85957781857338433</v>
      </c>
      <c r="L167" s="22">
        <f t="shared" si="43"/>
        <v>0.89567713316982989</v>
      </c>
      <c r="M167" s="9">
        <f t="shared" si="43"/>
        <v>0.86185251423270492</v>
      </c>
      <c r="N167" s="9">
        <f t="shared" si="43"/>
        <v>0.86592898487458281</v>
      </c>
      <c r="O167" s="9">
        <f t="shared" si="43"/>
        <v>0.82703264042288138</v>
      </c>
      <c r="P167" s="22">
        <f>P131/P132</f>
        <v>0.95123419295547662</v>
      </c>
      <c r="Q167" s="9">
        <f t="shared" si="43"/>
        <v>0.74372185545312952</v>
      </c>
      <c r="R167" s="9">
        <f t="shared" si="43"/>
        <v>0.72066246914673382</v>
      </c>
      <c r="S167" s="9">
        <f t="shared" si="43"/>
        <v>0.71443255606661837</v>
      </c>
      <c r="T167" s="22">
        <f t="shared" si="43"/>
        <v>0.77354405455944053</v>
      </c>
      <c r="U167" s="9">
        <f t="shared" si="43"/>
        <v>0.85462427711781841</v>
      </c>
      <c r="V167" s="9">
        <f t="shared" si="43"/>
        <v>0.90784967422591223</v>
      </c>
      <c r="W167" s="9">
        <f t="shared" si="43"/>
        <v>0.915317769079937</v>
      </c>
      <c r="X167" s="220">
        <f t="shared" si="2"/>
        <v>0.83467980746549109</v>
      </c>
    </row>
    <row r="168" spans="1:24" s="207" customFormat="1" ht="17">
      <c r="B168" s="208" t="s">
        <v>31</v>
      </c>
      <c r="C168" s="211" t="s">
        <v>54</v>
      </c>
      <c r="D168" s="9">
        <f>D137/D138</f>
        <v>0.60849865331148767</v>
      </c>
      <c r="E168" s="9">
        <f>E137/E138</f>
        <v>0.67042137501969612</v>
      </c>
      <c r="F168" s="9">
        <f>F137/F138</f>
        <v>0.5261140024422436</v>
      </c>
      <c r="G168" s="9">
        <f>G137/G138</f>
        <v>0.5261140024422436</v>
      </c>
      <c r="H168" s="22">
        <f t="shared" ref="H168:W168" si="44">H137/H138</f>
        <v>0.63416041550008206</v>
      </c>
      <c r="I168" s="9">
        <f t="shared" si="44"/>
        <v>0.61599108034066963</v>
      </c>
      <c r="J168" s="9">
        <f t="shared" si="44"/>
        <v>0.52282702960918859</v>
      </c>
      <c r="K168" s="9">
        <f t="shared" si="44"/>
        <v>0.43682512858745026</v>
      </c>
      <c r="L168" s="22">
        <f t="shared" si="44"/>
        <v>0.74560893122064209</v>
      </c>
      <c r="M168" s="9">
        <f t="shared" si="44"/>
        <v>0.77175510239518519</v>
      </c>
      <c r="N168" s="9">
        <f t="shared" si="44"/>
        <v>1.0779922085203519</v>
      </c>
      <c r="O168" s="9">
        <f t="shared" si="44"/>
        <v>0.89774195226411879</v>
      </c>
      <c r="P168" s="22">
        <f>P137/P138</f>
        <v>1.1994572782253257</v>
      </c>
      <c r="Q168" s="9">
        <f t="shared" si="44"/>
        <v>1.0967832853618462</v>
      </c>
      <c r="R168" s="9">
        <f t="shared" si="44"/>
        <v>1.0575131822317376</v>
      </c>
      <c r="S168" s="9">
        <f t="shared" si="44"/>
        <v>0.86216764418726788</v>
      </c>
      <c r="T168" s="22">
        <f t="shared" si="44"/>
        <v>0.92900350075386029</v>
      </c>
      <c r="U168" s="9">
        <f t="shared" si="44"/>
        <v>0.89413610890737549</v>
      </c>
      <c r="V168" s="9">
        <f t="shared" si="44"/>
        <v>0.95998761981852954</v>
      </c>
      <c r="W168" s="9">
        <f t="shared" si="44"/>
        <v>0.8814270334927562</v>
      </c>
      <c r="X168" s="220">
        <f t="shared" si="2"/>
        <v>0.7957262767316029</v>
      </c>
    </row>
    <row r="169" spans="1:24" s="207" customFormat="1">
      <c r="D169" s="220"/>
      <c r="E169" s="220"/>
      <c r="F169" s="220"/>
      <c r="G169" s="221"/>
      <c r="H169" s="220"/>
      <c r="I169" s="220"/>
      <c r="J169" s="220"/>
      <c r="K169" s="221"/>
      <c r="L169" s="220"/>
      <c r="M169" s="220"/>
      <c r="N169" s="220"/>
      <c r="O169" s="221"/>
      <c r="P169" s="220"/>
      <c r="Q169" s="220"/>
      <c r="R169" s="220"/>
      <c r="S169" s="221"/>
      <c r="T169" s="220"/>
      <c r="U169" s="220"/>
      <c r="V169" s="220"/>
      <c r="W169" s="220"/>
      <c r="X169" s="220"/>
    </row>
    <row r="170" spans="1:24" s="207" customFormat="1">
      <c r="D170" s="220"/>
      <c r="E170" s="220"/>
      <c r="F170" s="220"/>
      <c r="G170" s="221"/>
      <c r="H170" s="220"/>
      <c r="I170" s="220"/>
      <c r="J170" s="220"/>
      <c r="K170" s="221"/>
      <c r="L170" s="220"/>
      <c r="M170" s="220"/>
      <c r="N170" s="220"/>
      <c r="O170" s="221"/>
      <c r="P170" s="220"/>
      <c r="Q170" s="220"/>
      <c r="R170" s="220"/>
      <c r="S170" s="221"/>
      <c r="T170" s="220"/>
      <c r="U170" s="220"/>
      <c r="V170" s="220"/>
      <c r="W170" s="220"/>
      <c r="X170" s="220"/>
    </row>
    <row r="171" spans="1:24" s="207" customFormat="1">
      <c r="D171" s="220"/>
      <c r="E171" s="220"/>
      <c r="F171" s="220"/>
      <c r="G171" s="221"/>
      <c r="H171" s="220"/>
      <c r="I171" s="220"/>
      <c r="J171" s="220"/>
      <c r="K171" s="221"/>
      <c r="L171" s="220"/>
      <c r="M171" s="220"/>
      <c r="N171" s="220"/>
      <c r="O171" s="221"/>
      <c r="P171" s="220"/>
      <c r="Q171" s="220"/>
      <c r="R171" s="220"/>
      <c r="S171" s="221"/>
      <c r="T171" s="220"/>
      <c r="U171" s="220"/>
      <c r="V171" s="220"/>
      <c r="W171" s="220"/>
      <c r="X171" s="220"/>
    </row>
    <row r="172" spans="1:24" s="202" customFormat="1">
      <c r="A172" s="202" t="s">
        <v>0</v>
      </c>
      <c r="B172" s="202" t="s">
        <v>1</v>
      </c>
      <c r="C172" s="202" t="s">
        <v>2</v>
      </c>
      <c r="D172" s="222" t="s">
        <v>4</v>
      </c>
      <c r="E172" s="222"/>
      <c r="F172" s="222"/>
      <c r="G172" s="223"/>
      <c r="H172" s="222"/>
      <c r="I172" s="222"/>
      <c r="J172" s="222"/>
      <c r="K172" s="223"/>
      <c r="L172" s="222"/>
      <c r="M172" s="222"/>
      <c r="N172" s="222"/>
      <c r="O172" s="223"/>
      <c r="P172" s="222"/>
      <c r="Q172" s="222"/>
      <c r="R172" s="222"/>
      <c r="S172" s="223"/>
      <c r="T172" s="222"/>
      <c r="U172" s="222"/>
      <c r="V172" s="222"/>
      <c r="W172" s="222"/>
      <c r="X172" s="222"/>
    </row>
    <row r="173" spans="1:24" s="207" customFormat="1">
      <c r="D173" s="224">
        <v>2019</v>
      </c>
      <c r="E173" s="224"/>
      <c r="F173" s="224"/>
      <c r="G173" s="224"/>
      <c r="H173" s="224">
        <v>2020</v>
      </c>
      <c r="I173" s="224"/>
      <c r="J173" s="224"/>
      <c r="K173" s="224"/>
      <c r="L173" s="224">
        <v>2021</v>
      </c>
      <c r="M173" s="224"/>
      <c r="N173" s="224"/>
      <c r="O173" s="224"/>
      <c r="P173" s="224">
        <v>2022</v>
      </c>
      <c r="Q173" s="224"/>
      <c r="R173" s="224"/>
      <c r="S173" s="224"/>
      <c r="T173" s="224">
        <v>2023</v>
      </c>
      <c r="U173" s="224"/>
      <c r="V173" s="224"/>
      <c r="W173" s="224"/>
      <c r="X173" s="220"/>
    </row>
    <row r="174" spans="1:24" s="207" customFormat="1">
      <c r="D174" s="220" t="s">
        <v>5</v>
      </c>
      <c r="E174" s="220" t="s">
        <v>6</v>
      </c>
      <c r="F174" s="220" t="s">
        <v>7</v>
      </c>
      <c r="G174" s="221" t="s">
        <v>8</v>
      </c>
      <c r="H174" s="220" t="s">
        <v>5</v>
      </c>
      <c r="I174" s="220" t="s">
        <v>6</v>
      </c>
      <c r="J174" s="220" t="s">
        <v>7</v>
      </c>
      <c r="K174" s="221" t="s">
        <v>8</v>
      </c>
      <c r="L174" s="220" t="s">
        <v>5</v>
      </c>
      <c r="M174" s="220" t="s">
        <v>6</v>
      </c>
      <c r="N174" s="220" t="s">
        <v>7</v>
      </c>
      <c r="O174" s="221" t="s">
        <v>8</v>
      </c>
      <c r="P174" s="220" t="s">
        <v>5</v>
      </c>
      <c r="Q174" s="220" t="s">
        <v>6</v>
      </c>
      <c r="R174" s="220" t="s">
        <v>7</v>
      </c>
      <c r="S174" s="221" t="s">
        <v>8</v>
      </c>
      <c r="T174" s="220" t="s">
        <v>5</v>
      </c>
      <c r="U174" s="220" t="s">
        <v>6</v>
      </c>
      <c r="V174" s="220" t="s">
        <v>7</v>
      </c>
      <c r="W174" s="220" t="s">
        <v>8</v>
      </c>
      <c r="X174" s="220"/>
    </row>
    <row r="175" spans="1:24" s="207" customFormat="1" ht="18" thickBot="1">
      <c r="B175" s="205" t="s">
        <v>9</v>
      </c>
      <c r="C175" s="206" t="s">
        <v>32</v>
      </c>
      <c r="D175" s="4">
        <f t="shared" ref="D175:F175" si="45">D7/D8</f>
        <v>8.3041611687889264E-3</v>
      </c>
      <c r="E175" s="4">
        <f t="shared" si="45"/>
        <v>1.3925788926161516E-3</v>
      </c>
      <c r="F175" s="4">
        <f t="shared" si="45"/>
        <v>-2.8154147611514913E-3</v>
      </c>
      <c r="G175" s="4">
        <f t="shared" ref="G175:W175" si="46">G7/G8</f>
        <v>-2.0332036004707663E-2</v>
      </c>
      <c r="H175" s="23">
        <f t="shared" si="46"/>
        <v>8.426790988159287E-3</v>
      </c>
      <c r="I175" s="4">
        <f t="shared" si="46"/>
        <v>2.5356564380953416E-2</v>
      </c>
      <c r="J175" s="4">
        <f t="shared" si="46"/>
        <v>-2.0694920365322476E-2</v>
      </c>
      <c r="K175" s="4">
        <f t="shared" si="46"/>
        <v>-2.6793281797781131E-2</v>
      </c>
      <c r="L175" s="23">
        <f t="shared" si="46"/>
        <v>2.0029868129938122E-2</v>
      </c>
      <c r="M175" s="4">
        <f t="shared" si="46"/>
        <v>2.7270871321033223E-2</v>
      </c>
      <c r="N175" s="4">
        <f t="shared" si="46"/>
        <v>2.0010668142287115E-2</v>
      </c>
      <c r="O175" s="4">
        <f t="shared" si="46"/>
        <v>1.9570805310648552E-2</v>
      </c>
      <c r="P175" s="23">
        <f t="shared" si="46"/>
        <v>2.3829791086781488E-2</v>
      </c>
      <c r="Q175" s="4">
        <f t="shared" si="46"/>
        <v>8.834135246194667E-3</v>
      </c>
      <c r="R175" s="4">
        <f t="shared" si="46"/>
        <v>4.6395410768181877E-2</v>
      </c>
      <c r="S175" s="4">
        <f t="shared" si="46"/>
        <v>4.3701014608333609E-2</v>
      </c>
      <c r="T175" s="23">
        <f t="shared" si="46"/>
        <v>5.2305579692694261E-2</v>
      </c>
      <c r="U175" s="4">
        <f t="shared" si="46"/>
        <v>4.4347950485431047E-2</v>
      </c>
      <c r="V175" s="4">
        <f t="shared" si="46"/>
        <v>5.3634417054482783E-2</v>
      </c>
      <c r="W175" s="4">
        <f t="shared" si="46"/>
        <v>3.9485468376571173E-2</v>
      </c>
      <c r="X175" s="227">
        <f t="shared" ref="X175:X197" si="47">AVERAGE(D175:W175)</f>
        <v>1.8613021136206647E-2</v>
      </c>
    </row>
    <row r="176" spans="1:24" s="207" customFormat="1" ht="18" thickBot="1">
      <c r="B176" s="208" t="s">
        <v>10</v>
      </c>
      <c r="C176" s="209" t="s">
        <v>33</v>
      </c>
      <c r="D176" s="4">
        <f t="shared" ref="D176:F176" si="48">D13/D14</f>
        <v>2.0952156292117382E-2</v>
      </c>
      <c r="E176" s="4">
        <f t="shared" si="48"/>
        <v>2.2906113148231235E-2</v>
      </c>
      <c r="F176" s="4">
        <f t="shared" si="48"/>
        <v>2.0432768760611831E-2</v>
      </c>
      <c r="G176" s="4">
        <f t="shared" ref="G176:W176" si="49">G13/G14</f>
        <v>3.739650507254081E-2</v>
      </c>
      <c r="H176" s="23">
        <f t="shared" si="49"/>
        <v>1.8094250876855605E-2</v>
      </c>
      <c r="I176" s="4">
        <f t="shared" si="49"/>
        <v>1.4286600701289424E-2</v>
      </c>
      <c r="J176" s="4">
        <f t="shared" si="49"/>
        <v>2.0793854473072526E-2</v>
      </c>
      <c r="K176" s="4">
        <f t="shared" si="49"/>
        <v>2.5638847141877304E-2</v>
      </c>
      <c r="L176" s="23">
        <f t="shared" si="49"/>
        <v>6.8024184119393717E-3</v>
      </c>
      <c r="M176" s="4">
        <f t="shared" si="49"/>
        <v>2.3608216724576053E-2</v>
      </c>
      <c r="N176" s="4">
        <f t="shared" si="49"/>
        <v>3.2045778838421475E-2</v>
      </c>
      <c r="O176" s="4">
        <f t="shared" si="49"/>
        <v>2.9676659755456018E-2</v>
      </c>
      <c r="P176" s="23">
        <f t="shared" si="49"/>
        <v>3.1282304982092279E-2</v>
      </c>
      <c r="Q176" s="4">
        <f t="shared" si="49"/>
        <v>3.541303251529207E-2</v>
      </c>
      <c r="R176" s="4">
        <f t="shared" si="49"/>
        <v>5.5286596563718621E-2</v>
      </c>
      <c r="S176" s="4">
        <f t="shared" si="49"/>
        <v>7.776699788560068E-2</v>
      </c>
      <c r="T176" s="23">
        <f t="shared" si="49"/>
        <v>7.1561800751837698E-2</v>
      </c>
      <c r="U176" s="4">
        <f t="shared" si="49"/>
        <v>0.15409195964554301</v>
      </c>
      <c r="V176" s="4">
        <f t="shared" si="49"/>
        <v>0.22139311698159014</v>
      </c>
      <c r="W176" s="4">
        <f t="shared" si="49"/>
        <v>0.27613407873506035</v>
      </c>
      <c r="X176" s="227">
        <f t="shared" si="47"/>
        <v>5.97782029128862E-2</v>
      </c>
    </row>
    <row r="177" spans="2:24" s="207" customFormat="1" ht="18" thickBot="1">
      <c r="B177" s="208" t="s">
        <v>11</v>
      </c>
      <c r="C177" s="209" t="s">
        <v>34</v>
      </c>
      <c r="D177" s="4">
        <f t="shared" ref="D177:F177" si="50">D19/D20</f>
        <v>3.0535095021813428E-2</v>
      </c>
      <c r="E177" s="4">
        <f t="shared" si="50"/>
        <v>-7.6568159105642871E-3</v>
      </c>
      <c r="F177" s="4">
        <f t="shared" si="50"/>
        <v>4.8327791562531149E-2</v>
      </c>
      <c r="G177" s="4">
        <f>G19/G20</f>
        <v>-5.655822273076435E-2</v>
      </c>
      <c r="H177" s="23">
        <f t="shared" ref="H177:W177" si="51">H19/H20</f>
        <v>-6.2294409340509345E-2</v>
      </c>
      <c r="I177" s="4">
        <f t="shared" si="51"/>
        <v>-1.6862259718241516E-2</v>
      </c>
      <c r="J177" s="4">
        <f t="shared" si="51"/>
        <v>-1.4704568428514022E-2</v>
      </c>
      <c r="K177" s="4">
        <f t="shared" si="51"/>
        <v>8.5672284184381123E-2</v>
      </c>
      <c r="L177" s="23">
        <f t="shared" si="51"/>
        <v>5.5641111218157444E-2</v>
      </c>
      <c r="M177" s="4">
        <f t="shared" si="51"/>
        <v>2.8346446993520222E-2</v>
      </c>
      <c r="N177" s="4">
        <f t="shared" si="51"/>
        <v>-4.3247381310859076E-3</v>
      </c>
      <c r="O177" s="4">
        <f t="shared" si="51"/>
        <v>1.5489964429386274E-3</v>
      </c>
      <c r="P177" s="23">
        <f t="shared" si="51"/>
        <v>3.7363334774715866E-2</v>
      </c>
      <c r="Q177" s="4">
        <f t="shared" si="51"/>
        <v>8.5521041565222014E-2</v>
      </c>
      <c r="R177" s="4">
        <f t="shared" si="51"/>
        <v>4.0445109775837824E-2</v>
      </c>
      <c r="S177" s="4">
        <f t="shared" si="51"/>
        <v>-3.2570245518204581E-2</v>
      </c>
      <c r="T177" s="23">
        <f t="shared" si="51"/>
        <v>2.2532176932071931E-3</v>
      </c>
      <c r="U177" s="4">
        <f t="shared" si="51"/>
        <v>-1.1698535422346683E-2</v>
      </c>
      <c r="V177" s="4">
        <f t="shared" si="51"/>
        <v>2.1062674124529093E-3</v>
      </c>
      <c r="W177" s="4">
        <f t="shared" si="51"/>
        <v>4.412300426283966E-2</v>
      </c>
      <c r="X177" s="227">
        <f t="shared" si="47"/>
        <v>1.2760695285369338E-2</v>
      </c>
    </row>
    <row r="178" spans="2:24" s="207" customFormat="1" ht="18" thickBot="1">
      <c r="B178" s="208" t="s">
        <v>12</v>
      </c>
      <c r="C178" s="209" t="s">
        <v>35</v>
      </c>
      <c r="D178" s="4">
        <f t="shared" ref="D178:F178" si="52">D25/D26</f>
        <v>1.2341106833086759E-2</v>
      </c>
      <c r="E178" s="4">
        <f t="shared" si="52"/>
        <v>9.7578439241690958E-3</v>
      </c>
      <c r="F178" s="4">
        <f t="shared" si="52"/>
        <v>9.6115194806420268E-3</v>
      </c>
      <c r="G178" s="4">
        <f>G25/G26</f>
        <v>1.1565393873957747E-2</v>
      </c>
      <c r="H178" s="23">
        <f t="shared" ref="H178:W178" si="53">H25/H26</f>
        <v>1.7890646087317E-3</v>
      </c>
      <c r="I178" s="4">
        <f t="shared" si="53"/>
        <v>-1.4252041412111319E-2</v>
      </c>
      <c r="J178" s="4">
        <f t="shared" si="53"/>
        <v>-8.4545867985809861E-3</v>
      </c>
      <c r="K178" s="4">
        <f t="shared" si="53"/>
        <v>-7.2162108578467123E-4</v>
      </c>
      <c r="L178" s="23">
        <f t="shared" si="53"/>
        <v>-3.9574461009143861E-3</v>
      </c>
      <c r="M178" s="4">
        <f t="shared" si="53"/>
        <v>-2.5299204188000294E-4</v>
      </c>
      <c r="N178" s="4">
        <f t="shared" si="53"/>
        <v>-5.474764678717439E-3</v>
      </c>
      <c r="O178" s="4">
        <f t="shared" si="53"/>
        <v>1.1373665020899081E-2</v>
      </c>
      <c r="P178" s="23">
        <f>P25/P26</f>
        <v>7.1690240193198482E-3</v>
      </c>
      <c r="Q178" s="4">
        <f t="shared" si="53"/>
        <v>1.4934463754212682E-2</v>
      </c>
      <c r="R178" s="4">
        <f t="shared" si="53"/>
        <v>1.7391741706948613E-2</v>
      </c>
      <c r="S178" s="4">
        <f t="shared" si="53"/>
        <v>1.4488130262463079E-2</v>
      </c>
      <c r="T178" s="23">
        <f t="shared" si="53"/>
        <v>1.7845935427296507E-2</v>
      </c>
      <c r="U178" s="4">
        <f t="shared" si="53"/>
        <v>1.8865180487474074E-2</v>
      </c>
      <c r="V178" s="4">
        <f t="shared" si="53"/>
        <v>1.4084470778747811E-2</v>
      </c>
      <c r="W178" s="4">
        <f t="shared" si="53"/>
        <v>1.2498839084438666E-2</v>
      </c>
      <c r="X178" s="227">
        <f t="shared" si="47"/>
        <v>7.0301463572199439E-3</v>
      </c>
    </row>
    <row r="179" spans="2:24" s="207" customFormat="1" ht="18" thickBot="1">
      <c r="B179" s="208" t="s">
        <v>13</v>
      </c>
      <c r="C179" s="209" t="s">
        <v>36</v>
      </c>
      <c r="D179" s="4">
        <f t="shared" ref="D179:F179" si="54">D31/D32</f>
        <v>-3.5817706944746057E-2</v>
      </c>
      <c r="E179" s="4">
        <f t="shared" si="54"/>
        <v>4.1889605238714656E-3</v>
      </c>
      <c r="F179" s="4">
        <f t="shared" si="54"/>
        <v>3.1797640017427485E-2</v>
      </c>
      <c r="G179" s="4">
        <f>G31/G32</f>
        <v>-6.0392544051122203E-2</v>
      </c>
      <c r="H179" s="23">
        <f t="shared" ref="H179:W179" si="55">H31/H32</f>
        <v>-4.7237229089627651E-2</v>
      </c>
      <c r="I179" s="4">
        <f t="shared" si="55"/>
        <v>-8.2217736562033086E-2</v>
      </c>
      <c r="J179" s="4">
        <f t="shared" si="55"/>
        <v>-0.12046135007742576</v>
      </c>
      <c r="K179" s="4">
        <f t="shared" si="55"/>
        <v>-0.17094208341091027</v>
      </c>
      <c r="L179" s="23">
        <f t="shared" si="55"/>
        <v>-0.12837776516649294</v>
      </c>
      <c r="M179" s="4">
        <f t="shared" si="55"/>
        <v>-7.5679104388699528E-2</v>
      </c>
      <c r="N179" s="4">
        <f t="shared" si="55"/>
        <v>-8.9877512715775654E-2</v>
      </c>
      <c r="O179" s="4">
        <f t="shared" si="55"/>
        <v>-0.13476029605651874</v>
      </c>
      <c r="P179" s="23">
        <f t="shared" si="55"/>
        <v>-0.10064431986397721</v>
      </c>
      <c r="Q179" s="4">
        <f t="shared" si="55"/>
        <v>-0.10973735082088054</v>
      </c>
      <c r="R179" s="4">
        <f t="shared" si="55"/>
        <v>-8.8377720149720132E-2</v>
      </c>
      <c r="S179" s="4">
        <f t="shared" si="55"/>
        <v>-3.1129680188448472E-2</v>
      </c>
      <c r="T179" s="23">
        <f t="shared" si="55"/>
        <v>3.5926707958828016E-3</v>
      </c>
      <c r="U179" s="4">
        <f t="shared" si="55"/>
        <v>-3.2296796741188238E-2</v>
      </c>
      <c r="V179" s="4">
        <f t="shared" si="55"/>
        <v>-0.1218794422336833</v>
      </c>
      <c r="W179" s="4">
        <f t="shared" si="55"/>
        <v>-3.3764328511957917E-2</v>
      </c>
      <c r="X179" s="227">
        <f t="shared" si="47"/>
        <v>-7.1200684781801291E-2</v>
      </c>
    </row>
    <row r="180" spans="2:24" s="207" customFormat="1" ht="18" thickBot="1">
      <c r="B180" s="208" t="s">
        <v>14</v>
      </c>
      <c r="C180" s="209" t="s">
        <v>37</v>
      </c>
      <c r="D180" s="4">
        <f t="shared" ref="D180:F180" si="56">D37/D38</f>
        <v>4.354949810693641E-3</v>
      </c>
      <c r="E180" s="4">
        <f t="shared" si="56"/>
        <v>9.3940593864264661E-4</v>
      </c>
      <c r="F180" s="4">
        <f t="shared" si="56"/>
        <v>2.241223509993134E-2</v>
      </c>
      <c r="G180" s="4">
        <f>G37/G38</f>
        <v>-3.756937948151521E-2</v>
      </c>
      <c r="H180" s="23">
        <f t="shared" ref="H180:W180" si="57">H37/H38</f>
        <v>-1.350520700866039E-2</v>
      </c>
      <c r="I180" s="4">
        <f t="shared" si="57"/>
        <v>-5.8302409270422149E-2</v>
      </c>
      <c r="J180" s="4">
        <f t="shared" si="57"/>
        <v>-3.7194898108016877E-2</v>
      </c>
      <c r="K180" s="4">
        <f t="shared" si="57"/>
        <v>-0.12835389164391092</v>
      </c>
      <c r="L180" s="23">
        <f t="shared" si="57"/>
        <v>-3.6426977391613574E-2</v>
      </c>
      <c r="M180" s="4">
        <f t="shared" si="57"/>
        <v>-5.1044072473040082E-2</v>
      </c>
      <c r="N180" s="4">
        <f t="shared" si="57"/>
        <v>-8.1191799004874082E-2</v>
      </c>
      <c r="O180" s="4">
        <f t="shared" si="57"/>
        <v>-0.34860080004278088</v>
      </c>
      <c r="P180" s="23">
        <f t="shared" si="57"/>
        <v>-3.1800876447242325E-2</v>
      </c>
      <c r="Q180" s="4">
        <f t="shared" si="57"/>
        <v>0.67971655855997848</v>
      </c>
      <c r="R180" s="4">
        <f t="shared" si="57"/>
        <v>-1.0498311068897481E-2</v>
      </c>
      <c r="S180" s="4">
        <f>S37/S38</f>
        <v>6.3727297568243781E-3</v>
      </c>
      <c r="T180" s="23">
        <f t="shared" si="57"/>
        <v>-1.7788473052508642E-2</v>
      </c>
      <c r="U180" s="4">
        <f t="shared" si="57"/>
        <v>5.3578009934924899E-3</v>
      </c>
      <c r="V180" s="4">
        <f t="shared" si="57"/>
        <v>7.0061138209340094E-4</v>
      </c>
      <c r="W180" s="4">
        <f t="shared" si="57"/>
        <v>4.8169051049370214E-2</v>
      </c>
      <c r="X180" s="227">
        <f t="shared" si="47"/>
        <v>-4.2126876201228026E-3</v>
      </c>
    </row>
    <row r="181" spans="2:24" s="207" customFormat="1" ht="18" thickBot="1">
      <c r="B181" s="208" t="s">
        <v>15</v>
      </c>
      <c r="C181" s="209" t="s">
        <v>38</v>
      </c>
      <c r="D181" s="4">
        <f t="shared" ref="D181:F181" si="58">D43/D44</f>
        <v>-1.7280743756915393E-2</v>
      </c>
      <c r="E181" s="4">
        <f t="shared" si="58"/>
        <v>1.853128296821686E-2</v>
      </c>
      <c r="F181" s="4">
        <f t="shared" si="58"/>
        <v>-8.3785223251925597E-3</v>
      </c>
      <c r="G181" s="4">
        <f>G43/G44</f>
        <v>-1.5370978883195179E-2</v>
      </c>
      <c r="H181" s="23">
        <f t="shared" ref="H181:W181" si="59">H43/H44</f>
        <v>-3.8050202675006209E-2</v>
      </c>
      <c r="I181" s="4">
        <f t="shared" si="59"/>
        <v>-4.9177966488093451E-2</v>
      </c>
      <c r="J181" s="4">
        <f t="shared" si="59"/>
        <v>-2.8078351479558714E-2</v>
      </c>
      <c r="K181" s="4">
        <f t="shared" si="59"/>
        <v>-3.6588678650694879E-2</v>
      </c>
      <c r="L181" s="23">
        <f t="shared" si="59"/>
        <v>-2.7102973450418174E-2</v>
      </c>
      <c r="M181" s="4">
        <f t="shared" si="59"/>
        <v>-1.4785637656845579E-2</v>
      </c>
      <c r="N181" s="4">
        <f t="shared" si="59"/>
        <v>-2.7907084561471153E-2</v>
      </c>
      <c r="O181" s="4">
        <f t="shared" si="59"/>
        <v>-0.36379310719394331</v>
      </c>
      <c r="P181" s="23">
        <f t="shared" si="59"/>
        <v>-1.5094240518634101E-2</v>
      </c>
      <c r="Q181" s="4">
        <f t="shared" si="59"/>
        <v>-1.3484294891520258E-2</v>
      </c>
      <c r="R181" s="4">
        <f t="shared" si="59"/>
        <v>-1.7349104812913293E-2</v>
      </c>
      <c r="S181" s="4">
        <f t="shared" si="59"/>
        <v>-4.7598558151125327E-2</v>
      </c>
      <c r="T181" s="23">
        <f t="shared" si="59"/>
        <v>-9.4787848956816613E-3</v>
      </c>
      <c r="U181" s="4">
        <f t="shared" si="59"/>
        <v>2.4401425570902278E-2</v>
      </c>
      <c r="V181" s="4">
        <f t="shared" si="59"/>
        <v>-5.5925656560839232E-3</v>
      </c>
      <c r="W181" s="4">
        <f t="shared" si="59"/>
        <v>-8.1486628458562037E-3</v>
      </c>
      <c r="X181" s="227">
        <f t="shared" si="47"/>
        <v>-3.501638751770151E-2</v>
      </c>
    </row>
    <row r="182" spans="2:24" s="207" customFormat="1" ht="18" thickBot="1">
      <c r="B182" s="208" t="s">
        <v>16</v>
      </c>
      <c r="C182" s="209" t="s">
        <v>39</v>
      </c>
      <c r="D182" s="4">
        <f>D49/D50</f>
        <v>2.3272770413002936E-2</v>
      </c>
      <c r="E182" s="4">
        <f t="shared" ref="E182:F182" si="60">E49/E50</f>
        <v>3.953143620251641E-3</v>
      </c>
      <c r="F182" s="4">
        <f t="shared" si="60"/>
        <v>5.6992803780329185E-3</v>
      </c>
      <c r="G182" s="4">
        <f>G49/G50</f>
        <v>-4.2562647656821349E-2</v>
      </c>
      <c r="H182" s="23">
        <f t="shared" ref="H182:W182" si="61">H49/H50</f>
        <v>-1.3541784133206726E-2</v>
      </c>
      <c r="I182" s="4">
        <f t="shared" si="61"/>
        <v>-2.4182299192927154E-2</v>
      </c>
      <c r="J182" s="4">
        <f t="shared" si="61"/>
        <v>-1.5488419097036009E-2</v>
      </c>
      <c r="K182" s="4">
        <f t="shared" si="61"/>
        <v>-2.214735608859084E-3</v>
      </c>
      <c r="L182" s="23">
        <f t="shared" si="61"/>
        <v>-1.9424894422241452E-2</v>
      </c>
      <c r="M182" s="4">
        <f t="shared" si="61"/>
        <v>-7.9968283763599893E-3</v>
      </c>
      <c r="N182" s="4">
        <f t="shared" si="61"/>
        <v>-1.0503375264171179E-3</v>
      </c>
      <c r="O182" s="4">
        <f t="shared" si="61"/>
        <v>-1.4700006189707505E-2</v>
      </c>
      <c r="P182" s="23">
        <f t="shared" si="61"/>
        <v>-9.1926610102977379E-3</v>
      </c>
      <c r="Q182" s="4">
        <f t="shared" si="61"/>
        <v>-2.122706510292351E-2</v>
      </c>
      <c r="R182" s="4">
        <f t="shared" si="61"/>
        <v>9.3076873439710758E-3</v>
      </c>
      <c r="S182" s="4">
        <f t="shared" si="61"/>
        <v>-9.3688431884249787E-2</v>
      </c>
      <c r="T182" s="23">
        <f t="shared" si="61"/>
        <v>-8.9251081284117424E-3</v>
      </c>
      <c r="U182" s="4">
        <f t="shared" si="61"/>
        <v>-1.338656058685969E-2</v>
      </c>
      <c r="V182" s="4">
        <f t="shared" si="61"/>
        <v>-5.2299737858960173E-3</v>
      </c>
      <c r="W182" s="4">
        <f t="shared" si="61"/>
        <v>-1.3048407971018455E-2</v>
      </c>
      <c r="X182" s="227">
        <f t="shared" si="47"/>
        <v>-1.3181363945898739E-2</v>
      </c>
    </row>
    <row r="183" spans="2:24" s="207" customFormat="1" ht="18" thickBot="1">
      <c r="B183" s="208" t="s">
        <v>17</v>
      </c>
      <c r="C183" s="209" t="s">
        <v>40</v>
      </c>
      <c r="D183" s="4">
        <f t="shared" ref="D183:F183" si="62">D55/D56</f>
        <v>-8.838561879204938E-3</v>
      </c>
      <c r="E183" s="4">
        <f t="shared" si="62"/>
        <v>-9.9292492239686087E-3</v>
      </c>
      <c r="F183" s="4">
        <f t="shared" si="62"/>
        <v>-1.9757520206387148E-2</v>
      </c>
      <c r="G183" s="4">
        <f>G55/G56</f>
        <v>-1.4430076738189308</v>
      </c>
      <c r="H183" s="23">
        <f t="shared" ref="H183:W183" si="63">H55/H56</f>
        <v>-9.8204788009480459E-2</v>
      </c>
      <c r="I183" s="4">
        <f t="shared" si="63"/>
        <v>-9.8522689589405382E-2</v>
      </c>
      <c r="J183" s="4">
        <f t="shared" si="63"/>
        <v>-0.20431868106678183</v>
      </c>
      <c r="K183" s="4">
        <f t="shared" si="63"/>
        <v>0.82188422253630877</v>
      </c>
      <c r="L183" s="23">
        <f t="shared" si="63"/>
        <v>9.5565932305452985E-3</v>
      </c>
      <c r="M183" s="4">
        <f t="shared" si="63"/>
        <v>1.194226897542011E-4</v>
      </c>
      <c r="N183" s="4">
        <f t="shared" si="63"/>
        <v>9.5739662509067881E-3</v>
      </c>
      <c r="O183" s="4">
        <f t="shared" si="63"/>
        <v>1.2320383547694854E-2</v>
      </c>
      <c r="P183" s="23">
        <f t="shared" si="63"/>
        <v>1.6995379918020859E-2</v>
      </c>
      <c r="Q183" s="4">
        <f t="shared" si="63"/>
        <v>5.1324742462139153E-3</v>
      </c>
      <c r="R183" s="4">
        <f t="shared" si="63"/>
        <v>9.5663717050685857E-3</v>
      </c>
      <c r="S183" s="4">
        <f t="shared" si="63"/>
        <v>2.1263764545378254E-2</v>
      </c>
      <c r="T183" s="23">
        <f t="shared" si="63"/>
        <v>2.9221331113749246E-2</v>
      </c>
      <c r="U183" s="4">
        <f t="shared" si="63"/>
        <v>3.6032675628200457E-2</v>
      </c>
      <c r="V183" s="4">
        <f t="shared" si="63"/>
        <v>2.9667220795977636E-2</v>
      </c>
      <c r="W183" s="4">
        <f t="shared" si="63"/>
        <v>3.3570482802713492E-3</v>
      </c>
      <c r="X183" s="227">
        <f t="shared" si="47"/>
        <v>-4.3894415465303434E-2</v>
      </c>
    </row>
    <row r="184" spans="2:24" s="207" customFormat="1" ht="18" thickBot="1">
      <c r="B184" s="205" t="s">
        <v>18</v>
      </c>
      <c r="C184" s="209" t="s">
        <v>41</v>
      </c>
      <c r="D184" s="4">
        <f t="shared" ref="D184:F184" si="64">D61/D62</f>
        <v>-8.7307806500188246E-4</v>
      </c>
      <c r="E184" s="4">
        <f t="shared" si="64"/>
        <v>-2.8754179788587755E-2</v>
      </c>
      <c r="F184" s="4">
        <f t="shared" si="64"/>
        <v>-1.6354208296576443E-2</v>
      </c>
      <c r="G184" s="4">
        <f>G61/G62</f>
        <v>-9.3180709278720755E-2</v>
      </c>
      <c r="H184" s="23">
        <f t="shared" ref="H184:W184" si="65">H61/H62</f>
        <v>-0.25279378683709086</v>
      </c>
      <c r="I184" s="4">
        <f t="shared" si="65"/>
        <v>8.4452067750743653E-2</v>
      </c>
      <c r="J184" s="4">
        <f t="shared" si="65"/>
        <v>-6.6645215885680675E-2</v>
      </c>
      <c r="K184" s="4">
        <f t="shared" si="65"/>
        <v>9.0086257242716176E-3</v>
      </c>
      <c r="L184" s="23">
        <f t="shared" si="65"/>
        <v>-4.0712028689693619E-2</v>
      </c>
      <c r="M184" s="4">
        <f t="shared" si="65"/>
        <v>-4.3246243216828635E-2</v>
      </c>
      <c r="N184" s="4">
        <f t="shared" si="65"/>
        <v>3.346487762136683E-2</v>
      </c>
      <c r="O184" s="4">
        <f t="shared" si="65"/>
        <v>-5.3882896271476117E-3</v>
      </c>
      <c r="P184" s="23">
        <f t="shared" si="65"/>
        <v>1.3722424856228573E-2</v>
      </c>
      <c r="Q184" s="4">
        <f t="shared" si="65"/>
        <v>-4.8758584484529129E-4</v>
      </c>
      <c r="R184" s="4">
        <f t="shared" si="65"/>
        <v>7.165631485103411E-4</v>
      </c>
      <c r="S184" s="4">
        <f t="shared" si="65"/>
        <v>3.109486984299342E-3</v>
      </c>
      <c r="T184" s="23">
        <f t="shared" si="65"/>
        <v>1.9997109473973641E-2</v>
      </c>
      <c r="U184" s="4">
        <f t="shared" si="65"/>
        <v>-1.8504604710989575E-3</v>
      </c>
      <c r="V184" s="4">
        <f t="shared" si="65"/>
        <v>-1.2662091880238422E-2</v>
      </c>
      <c r="W184" s="4">
        <f t="shared" si="65"/>
        <v>0.28364986695045247</v>
      </c>
      <c r="X184" s="227">
        <f t="shared" si="47"/>
        <v>-5.7413427685832213E-3</v>
      </c>
    </row>
    <row r="185" spans="2:24" s="207" customFormat="1" ht="18" thickBot="1">
      <c r="B185" s="208" t="s">
        <v>19</v>
      </c>
      <c r="C185" s="209" t="s">
        <v>42</v>
      </c>
      <c r="D185" s="4">
        <f t="shared" ref="D185:F185" si="66">D67/D68</f>
        <v>2.5437952848137503E-4</v>
      </c>
      <c r="E185" s="4">
        <f t="shared" si="66"/>
        <v>-5.7736153280951726E-2</v>
      </c>
      <c r="F185" s="4">
        <f t="shared" si="66"/>
        <v>7.6957401726895173E-5</v>
      </c>
      <c r="G185" s="4">
        <f>G67/G68</f>
        <v>-5.0460392921681398E-2</v>
      </c>
      <c r="H185" s="23">
        <f t="shared" ref="H185:W185" si="67">H67/H68</f>
        <v>3.9372393138955141E-3</v>
      </c>
      <c r="I185" s="4">
        <f t="shared" si="67"/>
        <v>1.0893580537888177E-2</v>
      </c>
      <c r="J185" s="4">
        <f t="shared" si="67"/>
        <v>1.1807902310865899E-3</v>
      </c>
      <c r="K185" s="4">
        <f t="shared" si="67"/>
        <v>-1.8434980456301445E-2</v>
      </c>
      <c r="L185" s="23">
        <f t="shared" si="67"/>
        <v>3.5391402844187021E-2</v>
      </c>
      <c r="M185" s="4">
        <f t="shared" si="67"/>
        <v>2.6656589962218549E-2</v>
      </c>
      <c r="N185" s="4">
        <f t="shared" si="67"/>
        <v>6.0138750140609813E-2</v>
      </c>
      <c r="O185" s="4">
        <f t="shared" si="67"/>
        <v>6.6241768742714702E-2</v>
      </c>
      <c r="P185" s="23">
        <f t="shared" si="67"/>
        <v>0.10725439540106514</v>
      </c>
      <c r="Q185" s="4">
        <f t="shared" si="67"/>
        <v>8.2827595928501974E-2</v>
      </c>
      <c r="R185" s="4">
        <f t="shared" si="67"/>
        <v>7.8689330102507213E-2</v>
      </c>
      <c r="S185" s="4">
        <f t="shared" si="67"/>
        <v>5.5658199883167392E-2</v>
      </c>
      <c r="T185" s="23">
        <f t="shared" si="67"/>
        <v>3.4066174977344536E-2</v>
      </c>
      <c r="U185" s="4">
        <f t="shared" si="67"/>
        <v>6.2011850099718518E-2</v>
      </c>
      <c r="V185" s="4">
        <f t="shared" si="67"/>
        <v>7.639824170454429E-2</v>
      </c>
      <c r="W185" s="4">
        <f t="shared" si="67"/>
        <v>8.7509741483119977E-2</v>
      </c>
      <c r="X185" s="227">
        <f t="shared" si="47"/>
        <v>3.3127773081192149E-2</v>
      </c>
    </row>
    <row r="186" spans="2:24" s="207" customFormat="1" ht="18" thickBot="1">
      <c r="B186" s="208" t="s">
        <v>20</v>
      </c>
      <c r="C186" s="209" t="s">
        <v>43</v>
      </c>
      <c r="D186" s="4">
        <f t="shared" ref="D186:F186" si="68">D73/D74</f>
        <v>-3.8828619158187236E-2</v>
      </c>
      <c r="E186" s="4">
        <f t="shared" si="68"/>
        <v>-7.4812657892725259E-2</v>
      </c>
      <c r="F186" s="4">
        <f t="shared" si="68"/>
        <v>-0.55137840964866203</v>
      </c>
      <c r="G186" s="4">
        <f>G73/G74</f>
        <v>0.38085868764832481</v>
      </c>
      <c r="H186" s="23">
        <f t="shared" ref="H186:W186" si="69">H73/H74</f>
        <v>-7.7190186591295964E-2</v>
      </c>
      <c r="I186" s="4">
        <f t="shared" si="69"/>
        <v>-3.179608328243988E-2</v>
      </c>
      <c r="J186" s="4">
        <f t="shared" si="69"/>
        <v>-2.936715307183092E-2</v>
      </c>
      <c r="K186" s="4">
        <f t="shared" si="69"/>
        <v>2.8461543068026155E-3</v>
      </c>
      <c r="L186" s="23">
        <f t="shared" si="69"/>
        <v>-0.17021671888739232</v>
      </c>
      <c r="M186" s="4">
        <f t="shared" si="69"/>
        <v>5.2557948085651647E-4</v>
      </c>
      <c r="N186" s="4">
        <f t="shared" si="69"/>
        <v>-3.1725447750525868E-2</v>
      </c>
      <c r="O186" s="4">
        <f t="shared" si="69"/>
        <v>2.4318356023877068</v>
      </c>
      <c r="P186" s="23">
        <f t="shared" si="69"/>
        <v>-3.0264318090862968E-2</v>
      </c>
      <c r="Q186" s="4">
        <f t="shared" si="69"/>
        <v>-3.8834382142094163E-2</v>
      </c>
      <c r="R186" s="4">
        <f>R73/R74</f>
        <v>-0.10653996151656886</v>
      </c>
      <c r="S186" s="4">
        <f t="shared" si="69"/>
        <v>-1.5269478863756058E-2</v>
      </c>
      <c r="T186" s="23">
        <f t="shared" si="69"/>
        <v>-1.8252560473678188E-2</v>
      </c>
      <c r="U186" s="4">
        <f t="shared" si="69"/>
        <v>-1.0512997781785553E-2</v>
      </c>
      <c r="V186" s="4">
        <f t="shared" si="69"/>
        <v>-1.5657310881062866E-2</v>
      </c>
      <c r="W186" s="4">
        <f t="shared" si="69"/>
        <v>4.4247536141821399E-2</v>
      </c>
      <c r="X186" s="227">
        <f t="shared" si="47"/>
        <v>8.0983363696632199E-2</v>
      </c>
    </row>
    <row r="187" spans="2:24" s="207" customFormat="1" ht="18" thickBot="1">
      <c r="B187" s="208" t="s">
        <v>21</v>
      </c>
      <c r="C187" s="209" t="s">
        <v>44</v>
      </c>
      <c r="D187" s="4">
        <f t="shared" ref="D187:F187" si="70">D79/D80</f>
        <v>1.2957743891517702E-2</v>
      </c>
      <c r="E187" s="4">
        <f t="shared" si="70"/>
        <v>1.0671875645828199E-2</v>
      </c>
      <c r="F187" s="4">
        <f t="shared" si="70"/>
        <v>-2.0534542910547723E-2</v>
      </c>
      <c r="G187" s="4">
        <f>G79/G80</f>
        <v>2.7710258698683928E-2</v>
      </c>
      <c r="H187" s="23">
        <f t="shared" ref="H187:W187" si="71">H79/H80</f>
        <v>1.4830369409195804E-3</v>
      </c>
      <c r="I187" s="4">
        <f t="shared" si="71"/>
        <v>1.0811460969906551E-2</v>
      </c>
      <c r="J187" s="4">
        <f t="shared" si="71"/>
        <v>-1.0960142109388079E-2</v>
      </c>
      <c r="K187" s="4">
        <f t="shared" si="71"/>
        <v>1.2224527239747306E-2</v>
      </c>
      <c r="L187" s="23">
        <f t="shared" si="71"/>
        <v>7.1746903857207913E-3</v>
      </c>
      <c r="M187" s="4">
        <f t="shared" si="71"/>
        <v>0.16205168321689553</v>
      </c>
      <c r="N187" s="4">
        <f t="shared" si="71"/>
        <v>-0.15754417267813386</v>
      </c>
      <c r="O187" s="4">
        <f t="shared" si="71"/>
        <v>0.15679309819732459</v>
      </c>
      <c r="P187" s="23">
        <f t="shared" si="71"/>
        <v>8.3080598547269985E-2</v>
      </c>
      <c r="Q187" s="4">
        <f t="shared" si="71"/>
        <v>-1.0811662851136673E-2</v>
      </c>
      <c r="R187" s="4">
        <f t="shared" si="71"/>
        <v>0.17935279773722482</v>
      </c>
      <c r="S187" s="4">
        <f t="shared" si="71"/>
        <v>8.0032026434979114E-2</v>
      </c>
      <c r="T187" s="23">
        <f t="shared" si="71"/>
        <v>6.3996616199825385E-2</v>
      </c>
      <c r="U187" s="4">
        <f t="shared" si="71"/>
        <v>-5.9648189836196727E-2</v>
      </c>
      <c r="V187" s="4">
        <f t="shared" si="71"/>
        <v>0.15481617829063138</v>
      </c>
      <c r="W187" s="4">
        <f t="shared" si="71"/>
        <v>3.7792605314810164E-2</v>
      </c>
      <c r="X187" s="227">
        <f t="shared" si="47"/>
        <v>3.7072524366294109E-2</v>
      </c>
    </row>
    <row r="188" spans="2:24" s="207" customFormat="1" ht="18" thickBot="1">
      <c r="B188" s="208" t="s">
        <v>22</v>
      </c>
      <c r="C188" s="209" t="s">
        <v>45</v>
      </c>
      <c r="D188" s="4">
        <f t="shared" ref="D188:F188" si="72">D85/D86</f>
        <v>6.8366418649476153E-3</v>
      </c>
      <c r="E188" s="4">
        <f t="shared" si="72"/>
        <v>8.5888557154595469E-3</v>
      </c>
      <c r="F188" s="4">
        <f t="shared" si="72"/>
        <v>5.6925246188157608E-3</v>
      </c>
      <c r="G188" s="4">
        <f>G85/G86</f>
        <v>-8.6143480313461192E-3</v>
      </c>
      <c r="H188" s="23">
        <f t="shared" ref="H188:W188" si="73">H85/H86</f>
        <v>-3.8434406744386751E-2</v>
      </c>
      <c r="I188" s="4">
        <f t="shared" si="73"/>
        <v>-5.6399884833621031E-2</v>
      </c>
      <c r="J188" s="4">
        <f t="shared" si="73"/>
        <v>-2.5368358934464222E-2</v>
      </c>
      <c r="K188" s="4">
        <f t="shared" si="73"/>
        <v>-2.0776150586640754E-2</v>
      </c>
      <c r="L188" s="23">
        <f t="shared" si="73"/>
        <v>-1.7280599637974764E-2</v>
      </c>
      <c r="M188" s="4">
        <f t="shared" si="73"/>
        <v>-1.3571378271256242E-2</v>
      </c>
      <c r="N188" s="4">
        <f t="shared" si="73"/>
        <v>-2.0887480752730492E-2</v>
      </c>
      <c r="O188" s="4">
        <f t="shared" si="73"/>
        <v>6.0931288579911536E-3</v>
      </c>
      <c r="P188" s="23">
        <f t="shared" si="73"/>
        <v>7.0081905174223377E-3</v>
      </c>
      <c r="Q188" s="4">
        <f t="shared" si="73"/>
        <v>2.0507299103450019E-2</v>
      </c>
      <c r="R188" s="4">
        <f t="shared" si="73"/>
        <v>2.11631448380569E-2</v>
      </c>
      <c r="S188" s="4">
        <f t="shared" si="73"/>
        <v>2.721924505309388E-2</v>
      </c>
      <c r="T188" s="23">
        <f t="shared" si="73"/>
        <v>1.7170074270605015E-2</v>
      </c>
      <c r="U188" s="4">
        <f t="shared" si="73"/>
        <v>2.691231184668734E-2</v>
      </c>
      <c r="V188" s="4">
        <f t="shared" si="73"/>
        <v>2.5146208217340441E-2</v>
      </c>
      <c r="W188" s="4">
        <f t="shared" si="73"/>
        <v>3.7754511203780199E-2</v>
      </c>
      <c r="X188" s="227">
        <f t="shared" si="47"/>
        <v>4.3797641576149188E-4</v>
      </c>
    </row>
    <row r="189" spans="2:24" s="207" customFormat="1" ht="18" thickBot="1">
      <c r="B189" s="208" t="s">
        <v>23</v>
      </c>
      <c r="C189" s="209" t="s">
        <v>46</v>
      </c>
      <c r="D189" s="4">
        <f t="shared" ref="D189:F189" si="74">D91/D92</f>
        <v>2.0067937813586815E-3</v>
      </c>
      <c r="E189" s="4">
        <f t="shared" si="74"/>
        <v>8.2642888308935465E-3</v>
      </c>
      <c r="F189" s="4">
        <f t="shared" si="74"/>
        <v>2.1645491582961071E-2</v>
      </c>
      <c r="G189" s="4">
        <f>G91/G92</f>
        <v>7.4193975129875495E-2</v>
      </c>
      <c r="H189" s="23">
        <f t="shared" ref="H189:W189" si="75">H91/H92</f>
        <v>1.510875937872021E-3</v>
      </c>
      <c r="I189" s="4">
        <f t="shared" si="75"/>
        <v>6.4303316102466492E-5</v>
      </c>
      <c r="J189" s="4">
        <f t="shared" si="75"/>
        <v>1.1777228820180946E-2</v>
      </c>
      <c r="K189" s="4">
        <f t="shared" si="75"/>
        <v>1.0602253962802104E-2</v>
      </c>
      <c r="L189" s="23">
        <f t="shared" si="75"/>
        <v>1.3363698338018197E-3</v>
      </c>
      <c r="M189" s="4">
        <f t="shared" si="75"/>
        <v>-8.3983477432819024E-4</v>
      </c>
      <c r="N189" s="4">
        <f t="shared" si="75"/>
        <v>8.5407686230709861E-3</v>
      </c>
      <c r="O189" s="4">
        <f t="shared" si="75"/>
        <v>2.3771209051876136E-3</v>
      </c>
      <c r="P189" s="23">
        <f t="shared" si="75"/>
        <v>7.0312770687848295E-4</v>
      </c>
      <c r="Q189" s="4">
        <f t="shared" si="75"/>
        <v>3.5780897642106562E-4</v>
      </c>
      <c r="R189" s="4">
        <f t="shared" si="75"/>
        <v>3.6990991937852239E-3</v>
      </c>
      <c r="S189" s="4">
        <f t="shared" si="75"/>
        <v>-0.38583188298427296</v>
      </c>
      <c r="T189" s="23">
        <f t="shared" si="75"/>
        <v>-7.0630223388601462E-2</v>
      </c>
      <c r="U189" s="4">
        <f t="shared" si="75"/>
        <v>1.4170413814477737E-2</v>
      </c>
      <c r="V189" s="4">
        <f t="shared" si="75"/>
        <v>-1.7560519523105575E-3</v>
      </c>
      <c r="W189" s="4">
        <f t="shared" si="75"/>
        <v>5.8965061053356249E-2</v>
      </c>
      <c r="X189" s="227">
        <f t="shared" si="47"/>
        <v>-1.1942150581524383E-2</v>
      </c>
    </row>
    <row r="190" spans="2:24" s="207" customFormat="1" ht="18" thickBot="1">
      <c r="B190" s="208" t="s">
        <v>24</v>
      </c>
      <c r="C190" s="209" t="s">
        <v>47</v>
      </c>
      <c r="D190" s="4">
        <f t="shared" ref="D190:F190" si="76">D97/D98</f>
        <v>0.10193151571724962</v>
      </c>
      <c r="E190" s="4">
        <f t="shared" si="76"/>
        <v>0.10680617708993169</v>
      </c>
      <c r="F190" s="4">
        <f t="shared" si="76"/>
        <v>0.13291615522952449</v>
      </c>
      <c r="G190" s="4">
        <f>G97/G98</f>
        <v>0.16995944682827452</v>
      </c>
      <c r="H190" s="23">
        <f t="shared" ref="H190:W190" si="77">H97/H98</f>
        <v>0.12594167692872577</v>
      </c>
      <c r="I190" s="4">
        <f t="shared" si="77"/>
        <v>6.9439654668105213E-2</v>
      </c>
      <c r="J190" s="4">
        <f t="shared" si="77"/>
        <v>0.14070303373029638</v>
      </c>
      <c r="K190" s="4">
        <f t="shared" si="77"/>
        <v>0.14187126671426734</v>
      </c>
      <c r="L190" s="23">
        <f t="shared" si="77"/>
        <v>0.12847738569914569</v>
      </c>
      <c r="M190" s="4">
        <f t="shared" si="77"/>
        <v>0.1070188040900336</v>
      </c>
      <c r="N190" s="4">
        <f t="shared" si="77"/>
        <v>0.12538525298432265</v>
      </c>
      <c r="O190" s="4">
        <f t="shared" si="77"/>
        <v>0.12414016807370956</v>
      </c>
      <c r="P190" s="23">
        <f t="shared" si="77"/>
        <v>0.13366053534297648</v>
      </c>
      <c r="Q190" s="4">
        <f t="shared" si="77"/>
        <v>0.11472959961545451</v>
      </c>
      <c r="R190" s="4">
        <f t="shared" si="77"/>
        <v>0.13717049353281674</v>
      </c>
      <c r="S190" s="4">
        <f t="shared" si="77"/>
        <v>0.14575112975293569</v>
      </c>
      <c r="T190" s="23">
        <f t="shared" si="77"/>
        <v>0.1501121330803267</v>
      </c>
      <c r="U190" s="4">
        <f t="shared" si="77"/>
        <v>0.1453990449452445</v>
      </c>
      <c r="V190" s="4">
        <f t="shared" si="77"/>
        <v>0.18791969129907507</v>
      </c>
      <c r="W190" s="4">
        <f t="shared" si="77"/>
        <v>0.15363617996760984</v>
      </c>
      <c r="X190" s="227">
        <f t="shared" si="47"/>
        <v>0.1321484672645013</v>
      </c>
    </row>
    <row r="191" spans="2:24" s="207" customFormat="1" ht="18" thickBot="1">
      <c r="B191" s="208" t="s">
        <v>25</v>
      </c>
      <c r="C191" s="209" t="s">
        <v>48</v>
      </c>
      <c r="D191" s="4">
        <f t="shared" ref="D191:F191" si="78">D103/D104</f>
        <v>-3.7357473454473884E-2</v>
      </c>
      <c r="E191" s="4">
        <f t="shared" si="78"/>
        <v>-1.4395553112711148E-2</v>
      </c>
      <c r="F191" s="4">
        <f t="shared" si="78"/>
        <v>1.2823335509949015E-2</v>
      </c>
      <c r="G191" s="4">
        <f>G103/G104</f>
        <v>5.6033788949102908E-2</v>
      </c>
      <c r="H191" s="23">
        <f t="shared" ref="H191:W191" si="79">H103/H104</f>
        <v>-3.9522022721143565E-2</v>
      </c>
      <c r="I191" s="4">
        <f t="shared" si="79"/>
        <v>-8.024072251609192E-2</v>
      </c>
      <c r="J191" s="4">
        <f t="shared" si="79"/>
        <v>-1.3482270508469056E-2</v>
      </c>
      <c r="K191" s="4">
        <f t="shared" si="79"/>
        <v>-4.1639993244922013E-2</v>
      </c>
      <c r="L191" s="23">
        <f t="shared" si="79"/>
        <v>-1.8548325649860337E-2</v>
      </c>
      <c r="M191" s="4">
        <f t="shared" si="79"/>
        <v>-4.0545027351784522E-2</v>
      </c>
      <c r="N191" s="4">
        <f t="shared" si="79"/>
        <v>-5.8689707897758073E-4</v>
      </c>
      <c r="O191" s="4">
        <f t="shared" si="79"/>
        <v>-3.8120190550034204E-2</v>
      </c>
      <c r="P191" s="23">
        <f>P103/P104</f>
        <v>-5.7784096070311883E-3</v>
      </c>
      <c r="Q191" s="4">
        <f t="shared" si="79"/>
        <v>-3.1003672412775695E-2</v>
      </c>
      <c r="R191" s="4">
        <f t="shared" si="79"/>
        <v>-1.3506953671172467E-2</v>
      </c>
      <c r="S191" s="4">
        <f t="shared" si="79"/>
        <v>-3.105433440096347E-2</v>
      </c>
      <c r="T191" s="23">
        <f t="shared" si="79"/>
        <v>-1.9571835733214828E-2</v>
      </c>
      <c r="U191" s="4">
        <f t="shared" si="79"/>
        <v>-1.2588939144488057E-2</v>
      </c>
      <c r="V191" s="4">
        <f t="shared" si="79"/>
        <v>-1.4263053580060902E-3</v>
      </c>
      <c r="W191" s="4">
        <f t="shared" si="79"/>
        <v>-3.1096330589862206E-2</v>
      </c>
      <c r="X191" s="227">
        <f t="shared" si="47"/>
        <v>-2.0080406632346511E-2</v>
      </c>
    </row>
    <row r="192" spans="2:24" s="207" customFormat="1" ht="18" thickBot="1">
      <c r="B192" s="208" t="s">
        <v>26</v>
      </c>
      <c r="C192" s="209" t="s">
        <v>49</v>
      </c>
      <c r="D192" s="4">
        <f t="shared" ref="D192:F192" si="80">D109/D110</f>
        <v>7.7199561957596252E-2</v>
      </c>
      <c r="E192" s="4">
        <f t="shared" si="80"/>
        <v>7.5181671954104343E-2</v>
      </c>
      <c r="F192" s="4">
        <f t="shared" si="80"/>
        <v>6.4534762232099641E-2</v>
      </c>
      <c r="G192" s="4">
        <f>G109/G110</f>
        <v>7.7483043611525998E-2</v>
      </c>
      <c r="H192" s="23">
        <f t="shared" ref="H192:W192" si="81">H109/H110</f>
        <v>7.8198568786239292E-2</v>
      </c>
      <c r="I192" s="4">
        <f t="shared" si="81"/>
        <v>7.6066616166280285E-2</v>
      </c>
      <c r="J192" s="4">
        <f t="shared" si="81"/>
        <v>7.5950678776488589E-2</v>
      </c>
      <c r="K192" s="4">
        <f t="shared" si="81"/>
        <v>7.9304667718389774E-2</v>
      </c>
      <c r="L192" s="23">
        <f t="shared" si="81"/>
        <v>8.0447519524762506E-2</v>
      </c>
      <c r="M192" s="4">
        <f t="shared" si="81"/>
        <v>7.5118700106046946E-2</v>
      </c>
      <c r="N192" s="4">
        <f t="shared" si="81"/>
        <v>8.0844175152814751E-2</v>
      </c>
      <c r="O192" s="4">
        <f t="shared" si="81"/>
        <v>7.7463126860714715E-2</v>
      </c>
      <c r="P192" s="23">
        <f t="shared" si="81"/>
        <v>7.7717233552420092E-2</v>
      </c>
      <c r="Q192" s="4">
        <f t="shared" si="81"/>
        <v>7.8352374324092505E-2</v>
      </c>
      <c r="R192" s="4">
        <f t="shared" si="81"/>
        <v>7.9350430901884469E-2</v>
      </c>
      <c r="S192" s="4">
        <f t="shared" si="81"/>
        <v>7.6133120847190053E-2</v>
      </c>
      <c r="T192" s="23">
        <f t="shared" si="81"/>
        <v>7.6640084632777064E-2</v>
      </c>
      <c r="U192" s="4">
        <f t="shared" si="81"/>
        <v>7.6326446667914757E-2</v>
      </c>
      <c r="V192" s="4">
        <f t="shared" si="81"/>
        <v>7.9805798600562083E-2</v>
      </c>
      <c r="W192" s="4">
        <f t="shared" si="81"/>
        <v>7.5448317172110382E-2</v>
      </c>
      <c r="X192" s="227">
        <f t="shared" si="47"/>
        <v>7.6878344977300714E-2</v>
      </c>
    </row>
    <row r="193" spans="1:24" s="207" customFormat="1" ht="18" thickBot="1">
      <c r="B193" s="208" t="s">
        <v>27</v>
      </c>
      <c r="C193" s="209" t="s">
        <v>50</v>
      </c>
      <c r="D193" s="4">
        <f t="shared" ref="D193:F193" si="82">D115/D116</f>
        <v>3.8247243612423279E-2</v>
      </c>
      <c r="E193" s="4">
        <f t="shared" si="82"/>
        <v>7.8578981273729351E-2</v>
      </c>
      <c r="F193" s="4">
        <f t="shared" si="82"/>
        <v>4.2521673720020116E-2</v>
      </c>
      <c r="G193" s="4">
        <f>G115/G116</f>
        <v>0.13576087287738958</v>
      </c>
      <c r="H193" s="23">
        <f t="shared" ref="H193:W193" si="83">H115/H116</f>
        <v>6.3885427034364603E-2</v>
      </c>
      <c r="I193" s="4">
        <f t="shared" si="83"/>
        <v>3.1777870771243007E-2</v>
      </c>
      <c r="J193" s="4">
        <f t="shared" si="83"/>
        <v>3.8115399446480312E-2</v>
      </c>
      <c r="K193" s="4">
        <f t="shared" si="83"/>
        <v>2.7500069539511941E-2</v>
      </c>
      <c r="L193" s="23">
        <f t="shared" si="83"/>
        <v>3.5799105828443527E-2</v>
      </c>
      <c r="M193" s="4">
        <f t="shared" si="83"/>
        <v>4.1054843722391883E-2</v>
      </c>
      <c r="N193" s="4">
        <f t="shared" si="83"/>
        <v>5.9981067274502288E-2</v>
      </c>
      <c r="O193" s="4">
        <f t="shared" si="83"/>
        <v>5.0505286788421248E-2</v>
      </c>
      <c r="P193" s="23">
        <f t="shared" si="83"/>
        <v>2.6549364582891803E-2</v>
      </c>
      <c r="Q193" s="4">
        <f t="shared" si="83"/>
        <v>6.4990370063017569E-3</v>
      </c>
      <c r="R193" s="4">
        <f t="shared" si="83"/>
        <v>1.7929533163447444E-2</v>
      </c>
      <c r="S193" s="4">
        <f t="shared" si="83"/>
        <v>-4.9817473268315773E-2</v>
      </c>
      <c r="T193" s="23">
        <f t="shared" si="83"/>
        <v>1.2952796894539717E-3</v>
      </c>
      <c r="U193" s="4">
        <f t="shared" si="83"/>
        <v>2.9333724341233606E-3</v>
      </c>
      <c r="V193" s="4">
        <f t="shared" si="83"/>
        <v>1.778979359740104E-2</v>
      </c>
      <c r="W193" s="4">
        <f t="shared" si="83"/>
        <v>4.156983687346052E-3</v>
      </c>
      <c r="X193" s="227">
        <f t="shared" si="47"/>
        <v>3.3553186639078539E-2</v>
      </c>
    </row>
    <row r="194" spans="1:24" s="207" customFormat="1" ht="18" thickBot="1">
      <c r="B194" s="210" t="s">
        <v>28</v>
      </c>
      <c r="C194" s="209" t="s">
        <v>51</v>
      </c>
      <c r="D194" s="4">
        <f t="shared" ref="D194:F194" si="84">D121/D122</f>
        <v>9.4067389076002862E-3</v>
      </c>
      <c r="E194" s="4">
        <f t="shared" si="84"/>
        <v>-5.7307065914176192E-3</v>
      </c>
      <c r="F194" s="4">
        <f t="shared" si="84"/>
        <v>3.7567601731054345E-3</v>
      </c>
      <c r="G194" s="4">
        <f>G121/G122</f>
        <v>-7.6167952761315395E-3</v>
      </c>
      <c r="H194" s="23">
        <f t="shared" ref="H194:V194" si="85">H121/H122</f>
        <v>-7.1870602857361287E-3</v>
      </c>
      <c r="I194" s="4">
        <f t="shared" si="85"/>
        <v>-6.3004617831977595E-3</v>
      </c>
      <c r="J194" s="4">
        <f t="shared" si="85"/>
        <v>-2.7741067131338941E-2</v>
      </c>
      <c r="K194" s="4">
        <f t="shared" si="85"/>
        <v>-0.13955118480326159</v>
      </c>
      <c r="L194" s="23">
        <f t="shared" si="85"/>
        <v>-5.3717680979616364E-2</v>
      </c>
      <c r="M194" s="4">
        <f t="shared" si="85"/>
        <v>4.1531603549837311E-3</v>
      </c>
      <c r="N194" s="4">
        <f t="shared" si="85"/>
        <v>-1.373603103823879E-2</v>
      </c>
      <c r="O194" s="4">
        <f t="shared" si="85"/>
        <v>-9.1520692513809399E-2</v>
      </c>
      <c r="P194" s="23">
        <f t="shared" si="85"/>
        <v>3.8700711323498738E-3</v>
      </c>
      <c r="Q194" s="4">
        <f t="shared" si="85"/>
        <v>-2.7113386116845245E-2</v>
      </c>
      <c r="R194" s="4">
        <f t="shared" si="85"/>
        <v>-6.654335905204002E-3</v>
      </c>
      <c r="S194" s="4">
        <f t="shared" si="85"/>
        <v>-5.3475833545616677E-2</v>
      </c>
      <c r="T194" s="23">
        <f t="shared" si="85"/>
        <v>6.4265716638585669E-3</v>
      </c>
      <c r="U194" s="4">
        <f t="shared" si="85"/>
        <v>-2.5173004778407039E-2</v>
      </c>
      <c r="V194" s="4">
        <f t="shared" si="85"/>
        <v>-4.4014744694443046E-2</v>
      </c>
      <c r="W194" s="4">
        <v>4.8358489472378335E-2</v>
      </c>
      <c r="X194" s="227">
        <f t="shared" si="47"/>
        <v>-2.1678059686949396E-2</v>
      </c>
    </row>
    <row r="195" spans="1:24" s="207" customFormat="1" ht="18" thickBot="1">
      <c r="B195" s="208" t="s">
        <v>29</v>
      </c>
      <c r="C195" s="209" t="s">
        <v>52</v>
      </c>
      <c r="D195" s="4">
        <f t="shared" ref="D195:F195" si="86">D127/D128</f>
        <v>-5.4950877310984891E-3</v>
      </c>
      <c r="E195" s="4">
        <f t="shared" si="86"/>
        <v>6.9159790991785465E-3</v>
      </c>
      <c r="F195" s="4">
        <f t="shared" si="86"/>
        <v>3.1442891631306223E-2</v>
      </c>
      <c r="G195" s="4">
        <f>G127/G128</f>
        <v>-3.4037692225619676E-3</v>
      </c>
      <c r="H195" s="23">
        <f t="shared" ref="H195:V195" si="87">H127/H128</f>
        <v>4.1176751841483566E-3</v>
      </c>
      <c r="I195" s="4">
        <f t="shared" si="87"/>
        <v>-3.65883670305669E-2</v>
      </c>
      <c r="J195" s="4">
        <f t="shared" si="87"/>
        <v>-6.3108315478391155E-3</v>
      </c>
      <c r="K195" s="4">
        <f t="shared" si="87"/>
        <v>-1.4891406491032639E-2</v>
      </c>
      <c r="L195" s="23">
        <f t="shared" si="87"/>
        <v>-6.788450557326279E-4</v>
      </c>
      <c r="M195" s="4">
        <f t="shared" si="87"/>
        <v>4.2947302834930668E-3</v>
      </c>
      <c r="N195" s="4">
        <f t="shared" si="87"/>
        <v>-3.136380516861304E-3</v>
      </c>
      <c r="O195" s="4">
        <f t="shared" si="87"/>
        <v>2.1469446115616941E-3</v>
      </c>
      <c r="P195" s="23">
        <f t="shared" si="87"/>
        <v>5.4197027280400139E-3</v>
      </c>
      <c r="Q195" s="4">
        <f t="shared" si="87"/>
        <v>9.2938952446440012E-3</v>
      </c>
      <c r="R195" s="4">
        <f>R127/R128</f>
        <v>5.0734029079618536E-3</v>
      </c>
      <c r="S195" s="4">
        <f t="shared" si="87"/>
        <v>1.7143987237726123E-2</v>
      </c>
      <c r="T195" s="23">
        <f t="shared" si="87"/>
        <v>2.5000991178271353E-2</v>
      </c>
      <c r="U195" s="4">
        <f t="shared" si="87"/>
        <v>1.2161853810467574E-2</v>
      </c>
      <c r="V195" s="4">
        <f t="shared" si="87"/>
        <v>1.3938703106441113E-2</v>
      </c>
      <c r="W195" s="4">
        <f>W127/W128</f>
        <v>2.7434327653990429E-2</v>
      </c>
      <c r="X195" s="227">
        <f t="shared" si="47"/>
        <v>4.6940198540768655E-3</v>
      </c>
    </row>
    <row r="196" spans="1:24" s="207" customFormat="1" ht="18" thickBot="1">
      <c r="B196" s="208" t="s">
        <v>30</v>
      </c>
      <c r="C196" s="209" t="s">
        <v>53</v>
      </c>
      <c r="D196" s="4">
        <f>D133/D134</f>
        <v>2.7363777365433041E-3</v>
      </c>
      <c r="E196" s="4">
        <f>E133/E134</f>
        <v>1.9363372645711746E-3</v>
      </c>
      <c r="F196" s="4">
        <f>F133/F134</f>
        <v>-1.5625350439565286E-3</v>
      </c>
      <c r="G196" s="4">
        <f>G133/G134</f>
        <v>-8.4707509506260653E-4</v>
      </c>
      <c r="H196" s="23">
        <f t="shared" ref="H196:W196" si="88">H133/H134</f>
        <v>5.8096734270729293E-4</v>
      </c>
      <c r="I196" s="4">
        <f t="shared" si="88"/>
        <v>-1.8360228914767298E-3</v>
      </c>
      <c r="J196" s="4">
        <f t="shared" si="88"/>
        <v>-1.5395286395256083E-3</v>
      </c>
      <c r="K196" s="4">
        <f t="shared" si="88"/>
        <v>-1.8068866118912095E-3</v>
      </c>
      <c r="L196" s="23">
        <f t="shared" si="88"/>
        <v>-1.7818614088083561E-3</v>
      </c>
      <c r="M196" s="4">
        <f t="shared" si="88"/>
        <v>1.7635086109226727E-3</v>
      </c>
      <c r="N196" s="4">
        <f t="shared" si="88"/>
        <v>-8.9397188099223459E-4</v>
      </c>
      <c r="O196" s="4">
        <f t="shared" si="88"/>
        <v>-2.4045661888635809E-3</v>
      </c>
      <c r="P196" s="23">
        <f t="shared" si="88"/>
        <v>2.9245229946687147E-3</v>
      </c>
      <c r="Q196" s="4">
        <f t="shared" si="88"/>
        <v>1.3183891848251672E-3</v>
      </c>
      <c r="R196" s="4">
        <f t="shared" si="88"/>
        <v>-1.0422502082975453E-4</v>
      </c>
      <c r="S196" s="4">
        <f t="shared" si="88"/>
        <v>-4.2069789582069891E-4</v>
      </c>
      <c r="T196" s="23">
        <f t="shared" si="88"/>
        <v>2.6288041712957955E-3</v>
      </c>
      <c r="U196" s="4">
        <f t="shared" si="88"/>
        <v>1.2295950447747503E-3</v>
      </c>
      <c r="V196" s="4">
        <f t="shared" si="88"/>
        <v>-1.6405797700285625E-3</v>
      </c>
      <c r="W196" s="4">
        <f t="shared" si="88"/>
        <v>7.3012198323391684E-3</v>
      </c>
      <c r="X196" s="227">
        <f t="shared" si="47"/>
        <v>3.7908858676960851E-4</v>
      </c>
    </row>
    <row r="197" spans="1:24" s="207" customFormat="1" ht="17">
      <c r="B197" s="208" t="s">
        <v>31</v>
      </c>
      <c r="C197" s="211" t="s">
        <v>54</v>
      </c>
      <c r="D197" s="4">
        <f>D139/D140</f>
        <v>6.0153942132857435E-3</v>
      </c>
      <c r="E197" s="4">
        <f>E139/E140</f>
        <v>3.4914544029878859E-3</v>
      </c>
      <c r="F197" s="4">
        <f>F139/F140</f>
        <v>7.6905936519320716E-3</v>
      </c>
      <c r="G197" s="4">
        <f>G139/G140</f>
        <v>2.4537485197185971E-3</v>
      </c>
      <c r="H197" s="23">
        <f t="shared" ref="H197:W197" si="89">H139/H140</f>
        <v>5.0971527766158565E-3</v>
      </c>
      <c r="I197" s="4">
        <f t="shared" si="89"/>
        <v>-1.6812604146958011E-3</v>
      </c>
      <c r="J197" s="4">
        <f t="shared" si="89"/>
        <v>6.5129670602009795E-4</v>
      </c>
      <c r="K197" s="4">
        <f t="shared" si="89"/>
        <v>8.331695088619924E-3</v>
      </c>
      <c r="L197" s="23">
        <f t="shared" si="89"/>
        <v>5.9185569923301349E-3</v>
      </c>
      <c r="M197" s="4">
        <f t="shared" si="89"/>
        <v>7.4801622286390932E-3</v>
      </c>
      <c r="N197" s="4">
        <f t="shared" si="89"/>
        <v>-1.0238219662142781E-3</v>
      </c>
      <c r="O197" s="4">
        <f t="shared" si="89"/>
        <v>1.4948395765613697E-2</v>
      </c>
      <c r="P197" s="23">
        <f t="shared" si="89"/>
        <v>1.1732237178812896E-2</v>
      </c>
      <c r="Q197" s="4">
        <f>Q139/Q140</f>
        <v>1.6990454956983593E-3</v>
      </c>
      <c r="R197" s="4">
        <f t="shared" si="89"/>
        <v>-3.7889708962337695E-3</v>
      </c>
      <c r="S197" s="4">
        <f t="shared" si="89"/>
        <v>-8.9902003039467916E-3</v>
      </c>
      <c r="T197" s="23">
        <f t="shared" si="89"/>
        <v>5.2795349273778878E-3</v>
      </c>
      <c r="U197" s="4">
        <f t="shared" si="89"/>
        <v>9.4940543185851586E-5</v>
      </c>
      <c r="V197" s="4">
        <f t="shared" si="89"/>
        <v>3.6769889346422299E-3</v>
      </c>
      <c r="W197" s="4">
        <f t="shared" si="89"/>
        <v>-6.334891101887518E-3</v>
      </c>
      <c r="X197" s="227">
        <f t="shared" si="47"/>
        <v>3.137102637125108E-3</v>
      </c>
    </row>
    <row r="198" spans="1:24" s="207" customFormat="1">
      <c r="D198" s="220"/>
      <c r="E198" s="220"/>
      <c r="F198" s="220"/>
      <c r="G198" s="221"/>
      <c r="H198" s="220"/>
      <c r="I198" s="220"/>
      <c r="J198" s="220"/>
      <c r="K198" s="221"/>
      <c r="L198" s="220"/>
      <c r="M198" s="220"/>
      <c r="N198" s="220"/>
      <c r="O198" s="221"/>
      <c r="P198" s="220"/>
      <c r="Q198" s="220"/>
      <c r="R198" s="220"/>
      <c r="S198" s="221"/>
      <c r="T198" s="220"/>
      <c r="U198" s="220"/>
      <c r="V198" s="220"/>
      <c r="W198" s="220"/>
      <c r="X198" s="220"/>
    </row>
    <row r="199" spans="1:24" s="207" customFormat="1">
      <c r="D199" s="220"/>
      <c r="E199" s="220"/>
      <c r="F199" s="220"/>
      <c r="G199" s="221"/>
      <c r="H199" s="220"/>
      <c r="I199" s="220"/>
      <c r="J199" s="220"/>
      <c r="K199" s="221"/>
      <c r="L199" s="220"/>
      <c r="M199" s="220"/>
      <c r="N199" s="220"/>
      <c r="O199" s="221"/>
      <c r="P199" s="220"/>
      <c r="Q199" s="220"/>
      <c r="R199" s="220"/>
      <c r="S199" s="221"/>
      <c r="T199" s="220"/>
      <c r="U199" s="220"/>
      <c r="V199" s="220"/>
      <c r="W199" s="220"/>
      <c r="X199" s="220"/>
    </row>
    <row r="200" spans="1:24" s="202" customFormat="1">
      <c r="A200" s="202" t="s">
        <v>0</v>
      </c>
      <c r="B200" s="202" t="s">
        <v>1</v>
      </c>
      <c r="C200" s="202" t="s">
        <v>2</v>
      </c>
      <c r="D200" s="222" t="s">
        <v>60</v>
      </c>
      <c r="E200" s="222"/>
      <c r="F200" s="222"/>
      <c r="G200" s="223"/>
      <c r="H200" s="222"/>
      <c r="I200" s="222"/>
      <c r="J200" s="222"/>
      <c r="K200" s="223"/>
      <c r="L200" s="222"/>
      <c r="M200" s="222"/>
      <c r="N200" s="222"/>
      <c r="O200" s="223"/>
      <c r="P200" s="222"/>
      <c r="Q200" s="222"/>
      <c r="R200" s="222"/>
      <c r="S200" s="223"/>
      <c r="T200" s="222"/>
      <c r="U200" s="222"/>
      <c r="V200" s="222"/>
      <c r="W200" s="222"/>
      <c r="X200" s="222"/>
    </row>
    <row r="201" spans="1:24" s="207" customFormat="1">
      <c r="D201" s="224">
        <v>2019</v>
      </c>
      <c r="E201" s="224"/>
      <c r="F201" s="224"/>
      <c r="G201" s="224"/>
      <c r="H201" s="224">
        <v>2020</v>
      </c>
      <c r="I201" s="224"/>
      <c r="J201" s="224"/>
      <c r="K201" s="224"/>
      <c r="L201" s="224">
        <v>2021</v>
      </c>
      <c r="M201" s="224"/>
      <c r="N201" s="224"/>
      <c r="O201" s="224"/>
      <c r="P201" s="224">
        <v>2022</v>
      </c>
      <c r="Q201" s="224"/>
      <c r="R201" s="224"/>
      <c r="S201" s="224"/>
      <c r="T201" s="224">
        <v>2023</v>
      </c>
      <c r="U201" s="224"/>
      <c r="V201" s="224"/>
      <c r="W201" s="224"/>
      <c r="X201" s="220"/>
    </row>
    <row r="202" spans="1:24" s="207" customFormat="1">
      <c r="D202" s="220" t="s">
        <v>5</v>
      </c>
      <c r="E202" s="220" t="s">
        <v>6</v>
      </c>
      <c r="F202" s="220" t="s">
        <v>7</v>
      </c>
      <c r="G202" s="221" t="s">
        <v>8</v>
      </c>
      <c r="H202" s="220" t="s">
        <v>5</v>
      </c>
      <c r="I202" s="220" t="s">
        <v>6</v>
      </c>
      <c r="J202" s="220" t="s">
        <v>7</v>
      </c>
      <c r="K202" s="221" t="s">
        <v>8</v>
      </c>
      <c r="L202" s="220" t="s">
        <v>5</v>
      </c>
      <c r="M202" s="220" t="s">
        <v>6</v>
      </c>
      <c r="N202" s="220" t="s">
        <v>7</v>
      </c>
      <c r="O202" s="221" t="s">
        <v>8</v>
      </c>
      <c r="P202" s="220" t="s">
        <v>5</v>
      </c>
      <c r="Q202" s="220" t="s">
        <v>6</v>
      </c>
      <c r="R202" s="220" t="s">
        <v>7</v>
      </c>
      <c r="S202" s="221" t="s">
        <v>8</v>
      </c>
      <c r="T202" s="220" t="s">
        <v>5</v>
      </c>
      <c r="U202" s="220" t="s">
        <v>6</v>
      </c>
      <c r="V202" s="220" t="s">
        <v>7</v>
      </c>
      <c r="W202" s="220" t="s">
        <v>8</v>
      </c>
      <c r="X202" s="220"/>
    </row>
    <row r="203" spans="1:24" s="207" customFormat="1" ht="18" thickBot="1">
      <c r="B203" s="205" t="s">
        <v>9</v>
      </c>
      <c r="C203" s="206" t="s">
        <v>32</v>
      </c>
      <c r="D203" s="9">
        <f>D9/D8</f>
        <v>0.58945654411476267</v>
      </c>
      <c r="E203" s="9">
        <f t="shared" ref="E203:W203" si="90">E9/E8</f>
        <v>0.5860252831919901</v>
      </c>
      <c r="F203" s="9">
        <f t="shared" si="90"/>
        <v>0.5843643879851883</v>
      </c>
      <c r="G203" s="9">
        <f t="shared" si="90"/>
        <v>0.54530119274832023</v>
      </c>
      <c r="H203" s="22">
        <f t="shared" si="90"/>
        <v>0.54065902603231086</v>
      </c>
      <c r="I203" s="9">
        <f t="shared" si="90"/>
        <v>0.53314955947792142</v>
      </c>
      <c r="J203" s="9">
        <f t="shared" si="90"/>
        <v>0.5371137342572192</v>
      </c>
      <c r="K203" s="9">
        <f t="shared" si="90"/>
        <v>0.57751407218063788</v>
      </c>
      <c r="L203" s="22">
        <f t="shared" si="90"/>
        <v>0.55924283163296917</v>
      </c>
      <c r="M203" s="9">
        <f t="shared" si="90"/>
        <v>0.53541838289517574</v>
      </c>
      <c r="N203" s="9">
        <f t="shared" si="90"/>
        <v>0.52646039293710678</v>
      </c>
      <c r="O203" s="9">
        <f>O9/O8</f>
        <v>0.54398371385488853</v>
      </c>
      <c r="P203" s="22">
        <f t="shared" si="90"/>
        <v>0.52251372361033921</v>
      </c>
      <c r="Q203" s="9">
        <f t="shared" si="90"/>
        <v>0.51481522927170376</v>
      </c>
      <c r="R203" s="9">
        <f t="shared" si="90"/>
        <v>0.48291132405212167</v>
      </c>
      <c r="S203" s="9">
        <f t="shared" si="90"/>
        <v>0.3404803891307856</v>
      </c>
      <c r="T203" s="22">
        <f t="shared" si="90"/>
        <v>0.46434215908005005</v>
      </c>
      <c r="U203" s="9">
        <f t="shared" si="90"/>
        <v>0.4399703564245171</v>
      </c>
      <c r="V203" s="9">
        <f t="shared" si="90"/>
        <v>0.39931495909431536</v>
      </c>
      <c r="W203" s="9">
        <f t="shared" si="90"/>
        <v>0.48388987419440138</v>
      </c>
      <c r="X203" s="220">
        <f t="shared" ref="X203:X225" si="91">AVERAGE(D203:W203)</f>
        <v>0.51534635680833629</v>
      </c>
    </row>
    <row r="204" spans="1:24" s="207" customFormat="1" ht="18" thickBot="1">
      <c r="B204" s="208" t="s">
        <v>10</v>
      </c>
      <c r="C204" s="209" t="s">
        <v>33</v>
      </c>
      <c r="D204" s="9">
        <f>D15/D14</f>
        <v>0.1291962646527034</v>
      </c>
      <c r="E204" s="9">
        <f t="shared" ref="E204:W204" si="92">E15/E14</f>
        <v>0.15964918086170338</v>
      </c>
      <c r="F204" s="9">
        <f t="shared" si="92"/>
        <v>0.13889364897980394</v>
      </c>
      <c r="G204" s="9">
        <f t="shared" si="92"/>
        <v>0.12405773591578501</v>
      </c>
      <c r="H204" s="22">
        <f t="shared" si="92"/>
        <v>0.14160061467718446</v>
      </c>
      <c r="I204" s="9">
        <f t="shared" si="92"/>
        <v>0.15222089630534183</v>
      </c>
      <c r="J204" s="9">
        <f t="shared" si="92"/>
        <v>0.12529188103223021</v>
      </c>
      <c r="K204" s="9">
        <f t="shared" si="92"/>
        <v>0.12199439987768435</v>
      </c>
      <c r="L204" s="22">
        <f t="shared" si="92"/>
        <v>0.11753619889241607</v>
      </c>
      <c r="M204" s="9">
        <f t="shared" si="92"/>
        <v>0.11463906695607406</v>
      </c>
      <c r="N204" s="9">
        <f t="shared" si="92"/>
        <v>0.11292481507508241</v>
      </c>
      <c r="O204" s="9">
        <f t="shared" si="92"/>
        <v>0.11009542213450342</v>
      </c>
      <c r="P204" s="22">
        <f t="shared" si="92"/>
        <v>0.11476737925686463</v>
      </c>
      <c r="Q204" s="9">
        <f t="shared" si="92"/>
        <v>0.14692270623453285</v>
      </c>
      <c r="R204" s="9">
        <f t="shared" si="92"/>
        <v>0.17613098210018477</v>
      </c>
      <c r="S204" s="9">
        <f t="shared" si="92"/>
        <v>0.10656690561727868</v>
      </c>
      <c r="T204" s="22">
        <f t="shared" si="92"/>
        <v>0.13950873311449938</v>
      </c>
      <c r="U204" s="9">
        <f t="shared" si="92"/>
        <v>0.1244290715853294</v>
      </c>
      <c r="V204" s="9">
        <f t="shared" si="92"/>
        <v>0.11150440180447045</v>
      </c>
      <c r="W204" s="9">
        <f t="shared" si="92"/>
        <v>0.11938013246040785</v>
      </c>
      <c r="X204" s="220">
        <f t="shared" si="91"/>
        <v>0.12936552187670405</v>
      </c>
    </row>
    <row r="205" spans="1:24" s="207" customFormat="1" ht="18" thickBot="1">
      <c r="B205" s="208" t="s">
        <v>11</v>
      </c>
      <c r="C205" s="209" t="s">
        <v>34</v>
      </c>
      <c r="D205" s="9">
        <f>D21/D20</f>
        <v>0.60035048024075821</v>
      </c>
      <c r="E205" s="9">
        <f t="shared" ref="E205:W205" si="93">E21/E20</f>
        <v>0.60035048024075821</v>
      </c>
      <c r="F205" s="9">
        <f t="shared" si="93"/>
        <v>0.60035048024075821</v>
      </c>
      <c r="G205" s="9">
        <f t="shared" si="93"/>
        <v>0.60035048024075821</v>
      </c>
      <c r="H205" s="22">
        <f t="shared" si="93"/>
        <v>0.5977626599874285</v>
      </c>
      <c r="I205" s="9">
        <f t="shared" si="93"/>
        <v>0.5937541048158137</v>
      </c>
      <c r="J205" s="9">
        <f t="shared" si="93"/>
        <v>0.59135930005322257</v>
      </c>
      <c r="K205" s="9">
        <f t="shared" si="93"/>
        <v>0.64296027162865832</v>
      </c>
      <c r="L205" s="22">
        <f t="shared" si="93"/>
        <v>0.59300267280516328</v>
      </c>
      <c r="M205" s="9">
        <f t="shared" si="93"/>
        <v>0.53920082968715655</v>
      </c>
      <c r="N205" s="9">
        <f t="shared" si="93"/>
        <v>0.51752028145690532</v>
      </c>
      <c r="O205" s="9">
        <f>O21/O20</f>
        <v>0.52632930014838153</v>
      </c>
      <c r="P205" s="22">
        <f t="shared" si="93"/>
        <v>0.51951947483727601</v>
      </c>
      <c r="Q205" s="9">
        <f t="shared" si="93"/>
        <v>0.54269119522726217</v>
      </c>
      <c r="R205" s="9">
        <f t="shared" si="93"/>
        <v>0.49506415087789263</v>
      </c>
      <c r="S205" s="9">
        <f t="shared" si="93"/>
        <v>0.51471224277594663</v>
      </c>
      <c r="T205" s="22">
        <f t="shared" si="93"/>
        <v>0.49323071226251824</v>
      </c>
      <c r="U205" s="9">
        <f t="shared" si="93"/>
        <v>0.47926467291669184</v>
      </c>
      <c r="V205" s="9">
        <f t="shared" si="93"/>
        <v>0.44376084645803027</v>
      </c>
      <c r="W205" s="9">
        <f t="shared" si="93"/>
        <v>0.41350966274529416</v>
      </c>
      <c r="X205" s="220">
        <f t="shared" si="91"/>
        <v>0.54525221498233367</v>
      </c>
    </row>
    <row r="206" spans="1:24" s="207" customFormat="1" ht="18" thickBot="1">
      <c r="B206" s="208" t="s">
        <v>12</v>
      </c>
      <c r="C206" s="209" t="s">
        <v>35</v>
      </c>
      <c r="D206" s="9">
        <f>D27/D26</f>
        <v>0.25851375519486997</v>
      </c>
      <c r="E206" s="9">
        <f t="shared" ref="E206:W206" si="94">E27/E26</f>
        <v>0.25758907354035221</v>
      </c>
      <c r="F206" s="9">
        <f t="shared" si="94"/>
        <v>0.28119201066538696</v>
      </c>
      <c r="G206" s="9">
        <f t="shared" si="94"/>
        <v>0.30716239528984807</v>
      </c>
      <c r="H206" s="22">
        <f t="shared" si="94"/>
        <v>2.6176430073474987E-2</v>
      </c>
      <c r="I206" s="9">
        <f t="shared" si="94"/>
        <v>0.3036640898227882</v>
      </c>
      <c r="J206" s="9">
        <f t="shared" si="94"/>
        <v>0.29525158382556899</v>
      </c>
      <c r="K206" s="9">
        <f t="shared" si="94"/>
        <v>0.27816893543931615</v>
      </c>
      <c r="L206" s="22">
        <f t="shared" si="94"/>
        <v>0.2723695755243955</v>
      </c>
      <c r="M206" s="9">
        <f t="shared" si="94"/>
        <v>0.24270229252397604</v>
      </c>
      <c r="N206" s="9">
        <f t="shared" si="94"/>
        <v>0.23330211869543446</v>
      </c>
      <c r="O206" s="9">
        <f>O27/O26</f>
        <v>0.21984357099587354</v>
      </c>
      <c r="P206" s="22">
        <f t="shared" si="94"/>
        <v>0.21896980852736067</v>
      </c>
      <c r="Q206" s="9">
        <f t="shared" si="94"/>
        <v>0.23386485372826982</v>
      </c>
      <c r="R206" s="9">
        <f t="shared" si="94"/>
        <v>0.21249048711366902</v>
      </c>
      <c r="S206" s="9">
        <f t="shared" si="94"/>
        <v>0.22376805412902065</v>
      </c>
      <c r="T206" s="22">
        <f t="shared" si="94"/>
        <v>0.22341487237386065</v>
      </c>
      <c r="U206" s="9">
        <f t="shared" si="94"/>
        <v>0.26009184412562408</v>
      </c>
      <c r="V206" s="9">
        <f t="shared" si="94"/>
        <v>0.24961152385501678</v>
      </c>
      <c r="W206" s="9">
        <f t="shared" si="94"/>
        <v>0.25708818103528341</v>
      </c>
      <c r="X206" s="220">
        <f t="shared" si="91"/>
        <v>0.24276177282396949</v>
      </c>
    </row>
    <row r="207" spans="1:24" s="207" customFormat="1" ht="18" thickBot="1">
      <c r="B207" s="208" t="s">
        <v>13</v>
      </c>
      <c r="C207" s="209" t="s">
        <v>36</v>
      </c>
      <c r="D207" s="9">
        <f>D33/D32</f>
        <v>0.92264759324134848</v>
      </c>
      <c r="E207" s="9">
        <f t="shared" ref="E207:W207" si="95">E33/E32</f>
        <v>0.92264759324134848</v>
      </c>
      <c r="F207" s="9">
        <f t="shared" si="95"/>
        <v>0.92264759324134848</v>
      </c>
      <c r="G207" s="9">
        <f t="shared" si="95"/>
        <v>0.92264759324134848</v>
      </c>
      <c r="H207" s="22">
        <f t="shared" si="95"/>
        <v>1.1280697446143704</v>
      </c>
      <c r="I207" s="9">
        <f t="shared" si="95"/>
        <v>1.1933878928089328</v>
      </c>
      <c r="J207" s="9">
        <f t="shared" si="95"/>
        <v>1.2966713515718944</v>
      </c>
      <c r="K207" s="9">
        <f t="shared" si="95"/>
        <v>1.4786455227352726</v>
      </c>
      <c r="L207" s="22">
        <f t="shared" si="95"/>
        <v>1.6267678114880639</v>
      </c>
      <c r="M207" s="9">
        <f t="shared" si="95"/>
        <v>1.725536617876767</v>
      </c>
      <c r="N207" s="9">
        <f>N33/N32</f>
        <v>1.8480176339687513</v>
      </c>
      <c r="O207" s="9">
        <f t="shared" si="95"/>
        <v>2.0108725050006018</v>
      </c>
      <c r="P207" s="22">
        <f t="shared" si="95"/>
        <v>2.1450233280129019</v>
      </c>
      <c r="Q207" s="9">
        <f t="shared" si="95"/>
        <v>2.2366377435436884</v>
      </c>
      <c r="R207" s="9">
        <f t="shared" si="95"/>
        <v>2.3972176330431987</v>
      </c>
      <c r="S207" s="9">
        <f t="shared" si="95"/>
        <v>2.2722333519316451</v>
      </c>
      <c r="T207" s="22">
        <f t="shared" si="95"/>
        <v>2.1353178876471008</v>
      </c>
      <c r="U207" s="9">
        <f t="shared" si="95"/>
        <v>2.161577048208132</v>
      </c>
      <c r="V207" s="9">
        <f t="shared" si="95"/>
        <v>2.3361699469379666</v>
      </c>
      <c r="W207" s="9">
        <f t="shared" si="95"/>
        <v>2.2919776484311054</v>
      </c>
      <c r="X207" s="220">
        <f t="shared" si="91"/>
        <v>1.6987357020392893</v>
      </c>
    </row>
    <row r="208" spans="1:24" s="207" customFormat="1" ht="18" thickBot="1">
      <c r="B208" s="208" t="s">
        <v>14</v>
      </c>
      <c r="C208" s="209" t="s">
        <v>37</v>
      </c>
      <c r="D208" s="9">
        <f>D39/D38</f>
        <v>0.78575048689607341</v>
      </c>
      <c r="E208" s="9">
        <f t="shared" ref="E208:V208" si="96">E39/E38</f>
        <v>0.8153304918236377</v>
      </c>
      <c r="F208" s="9">
        <f t="shared" si="96"/>
        <v>0.79373126278890305</v>
      </c>
      <c r="G208" s="9">
        <f t="shared" si="96"/>
        <v>0.83826855284107127</v>
      </c>
      <c r="H208" s="22">
        <f t="shared" si="96"/>
        <v>0.94523894249704987</v>
      </c>
      <c r="I208" s="9">
        <f t="shared" si="96"/>
        <v>1.0078520284531916</v>
      </c>
      <c r="J208" s="9">
        <f t="shared" si="96"/>
        <v>1.0459920383400048</v>
      </c>
      <c r="K208" s="9">
        <f t="shared" si="96"/>
        <v>1.1800767168900013</v>
      </c>
      <c r="L208" s="22">
        <f t="shared" si="96"/>
        <v>1.2194703808264344</v>
      </c>
      <c r="M208" s="9">
        <f t="shared" si="96"/>
        <v>1.281596239723763</v>
      </c>
      <c r="N208" s="9">
        <f t="shared" si="96"/>
        <v>1.3826834901686793</v>
      </c>
      <c r="O208" s="9">
        <f>O39/O38</f>
        <v>1.8494753267617414</v>
      </c>
      <c r="P208" s="22">
        <f t="shared" si="96"/>
        <v>1.8987914587247487</v>
      </c>
      <c r="Q208" s="9">
        <f t="shared" si="96"/>
        <v>1.4011434200395319</v>
      </c>
      <c r="R208" s="9">
        <f t="shared" si="96"/>
        <v>1.4098130911689035</v>
      </c>
      <c r="S208" s="9">
        <f t="shared" si="96"/>
        <v>1.24620632668817</v>
      </c>
      <c r="T208" s="22">
        <f t="shared" si="96"/>
        <v>1.2655930429320061</v>
      </c>
      <c r="U208" s="9">
        <f t="shared" si="96"/>
        <v>1.2563014377403403</v>
      </c>
      <c r="V208" s="9">
        <f t="shared" si="96"/>
        <v>1.261644516912996</v>
      </c>
      <c r="W208" s="9">
        <f>W39/W38</f>
        <v>1.1906651085030124</v>
      </c>
      <c r="X208" s="220">
        <f t="shared" si="91"/>
        <v>1.203781218036013</v>
      </c>
    </row>
    <row r="209" spans="2:24" s="207" customFormat="1" ht="18" thickBot="1">
      <c r="B209" s="208" t="s">
        <v>15</v>
      </c>
      <c r="C209" s="209" t="s">
        <v>38</v>
      </c>
      <c r="D209" s="9">
        <f>D45/D44</f>
        <v>0.15091140039179643</v>
      </c>
      <c r="E209" s="9">
        <f t="shared" ref="E209:W209" si="97">E45/E44</f>
        <v>0.15091140039179643</v>
      </c>
      <c r="F209" s="9">
        <f t="shared" si="97"/>
        <v>0.15091140039179643</v>
      </c>
      <c r="G209" s="9">
        <f t="shared" si="97"/>
        <v>0.13700458650192654</v>
      </c>
      <c r="H209" s="22">
        <f t="shared" si="97"/>
        <v>0.17102986608893564</v>
      </c>
      <c r="I209" s="9">
        <f t="shared" si="97"/>
        <v>0.16524846162475826</v>
      </c>
      <c r="J209" s="9">
        <f t="shared" si="97"/>
        <v>0.17641370433606396</v>
      </c>
      <c r="K209" s="9">
        <f t="shared" si="97"/>
        <v>0.19353452130139071</v>
      </c>
      <c r="L209" s="22">
        <f t="shared" si="97"/>
        <v>0.19665052333675329</v>
      </c>
      <c r="M209" s="9">
        <f t="shared" si="97"/>
        <v>0.1877176851415274</v>
      </c>
      <c r="N209" s="9">
        <f t="shared" si="97"/>
        <v>0.18565999057136109</v>
      </c>
      <c r="O209" s="9">
        <f>O45/O44</f>
        <v>1.9764284030164243</v>
      </c>
      <c r="P209" s="22">
        <f t="shared" si="97"/>
        <v>0.21987604394023164</v>
      </c>
      <c r="Q209" s="9">
        <f t="shared" si="97"/>
        <v>0.18982471118859989</v>
      </c>
      <c r="R209" s="9">
        <f t="shared" si="97"/>
        <v>0.19032419886219021</v>
      </c>
      <c r="S209" s="9">
        <f t="shared" si="97"/>
        <v>0.24029998505263994</v>
      </c>
      <c r="T209" s="22">
        <f t="shared" si="97"/>
        <v>0.24291310918809259</v>
      </c>
      <c r="U209" s="9">
        <f t="shared" si="97"/>
        <v>0.22928558169579843</v>
      </c>
      <c r="V209" s="9">
        <f t="shared" si="97"/>
        <v>0.22994199902839613</v>
      </c>
      <c r="W209" s="9">
        <f t="shared" si="97"/>
        <v>0.14545467044701163</v>
      </c>
      <c r="X209" s="220">
        <f t="shared" si="91"/>
        <v>0.27651711212487456</v>
      </c>
    </row>
    <row r="210" spans="2:24" s="207" customFormat="1" ht="18" thickBot="1">
      <c r="B210" s="208" t="s">
        <v>16</v>
      </c>
      <c r="C210" s="209" t="s">
        <v>39</v>
      </c>
      <c r="D210" s="9">
        <f>D51/D50</f>
        <v>0.30963258429121532</v>
      </c>
      <c r="E210" s="9">
        <f t="shared" ref="E210:W210" si="98">E51/E50</f>
        <v>0.30498394625830788</v>
      </c>
      <c r="F210" s="9">
        <f t="shared" si="98"/>
        <v>0.2893581622676521</v>
      </c>
      <c r="G210" s="9">
        <f t="shared" si="98"/>
        <v>0.33266368053486417</v>
      </c>
      <c r="H210" s="22">
        <f t="shared" si="98"/>
        <v>0.31893984338971326</v>
      </c>
      <c r="I210" s="9">
        <f t="shared" si="98"/>
        <v>0.32902825657145374</v>
      </c>
      <c r="J210" s="9">
        <f t="shared" si="98"/>
        <v>0.3336670840087046</v>
      </c>
      <c r="K210" s="9">
        <f t="shared" si="98"/>
        <v>0.32071858798987307</v>
      </c>
      <c r="L210" s="22">
        <f t="shared" si="98"/>
        <v>0.31840360453729022</v>
      </c>
      <c r="M210" s="9">
        <f t="shared" si="98"/>
        <v>0.32035113307330376</v>
      </c>
      <c r="N210" s="9">
        <f t="shared" si="98"/>
        <v>0.31840777523187996</v>
      </c>
      <c r="O210" s="9">
        <f t="shared" si="98"/>
        <v>0.32588441486600861</v>
      </c>
      <c r="P210" s="22">
        <f t="shared" si="98"/>
        <v>0.32709897585593001</v>
      </c>
      <c r="Q210" s="9">
        <f t="shared" si="98"/>
        <v>0.33902327896194351</v>
      </c>
      <c r="R210" s="9">
        <f t="shared" si="98"/>
        <v>0.32794130116029768</v>
      </c>
      <c r="S210" s="9">
        <f t="shared" si="98"/>
        <v>0.35519491558100386</v>
      </c>
      <c r="T210" s="22">
        <f t="shared" si="98"/>
        <v>0.35125517159854341</v>
      </c>
      <c r="U210" s="9">
        <f t="shared" si="98"/>
        <v>0.34752455907357555</v>
      </c>
      <c r="V210" s="9">
        <f t="shared" si="98"/>
        <v>0.33151424045301237</v>
      </c>
      <c r="W210" s="9">
        <f t="shared" si="98"/>
        <v>0.33500978976707912</v>
      </c>
      <c r="X210" s="220">
        <f t="shared" si="91"/>
        <v>0.3268300652735826</v>
      </c>
    </row>
    <row r="211" spans="2:24" s="207" customFormat="1" ht="18" thickBot="1">
      <c r="B211" s="208" t="s">
        <v>17</v>
      </c>
      <c r="C211" s="209" t="s">
        <v>40</v>
      </c>
      <c r="D211" s="9">
        <f>D57/D56</f>
        <v>0.48543480908502556</v>
      </c>
      <c r="E211" s="9">
        <f t="shared" ref="E211:W211" si="99">E57/E56</f>
        <v>0.48543480908502556</v>
      </c>
      <c r="F211" s="9">
        <f t="shared" si="99"/>
        <v>0.49601833458841116</v>
      </c>
      <c r="G211" s="9">
        <f t="shared" si="99"/>
        <v>1.2035918939262285</v>
      </c>
      <c r="H211" s="22">
        <f t="shared" si="99"/>
        <v>1.3462116539568885</v>
      </c>
      <c r="I211" s="9">
        <f t="shared" si="99"/>
        <v>1.4761194467227499</v>
      </c>
      <c r="J211" s="9">
        <f t="shared" si="99"/>
        <v>1.7694920547610362</v>
      </c>
      <c r="K211" s="9">
        <f t="shared" si="99"/>
        <v>1.3253764064031794</v>
      </c>
      <c r="L211" s="22">
        <f t="shared" si="99"/>
        <v>0.23349014509503813</v>
      </c>
      <c r="M211" s="9">
        <f t="shared" si="99"/>
        <v>0.21185392171340722</v>
      </c>
      <c r="N211" s="9">
        <f t="shared" si="99"/>
        <v>0.21933098686121222</v>
      </c>
      <c r="O211" s="9">
        <f t="shared" si="99"/>
        <v>0.11524248961292681</v>
      </c>
      <c r="P211" s="22">
        <f>P57/P56</f>
        <v>0.13777399275999935</v>
      </c>
      <c r="Q211" s="9">
        <f t="shared" si="99"/>
        <v>0.16708136681439517</v>
      </c>
      <c r="R211" s="9">
        <f t="shared" si="99"/>
        <v>0.14022625565284319</v>
      </c>
      <c r="S211" s="9">
        <f t="shared" si="99"/>
        <v>0.1705886274835888</v>
      </c>
      <c r="T211" s="22">
        <f t="shared" si="99"/>
        <v>0.1663501807064944</v>
      </c>
      <c r="U211" s="9">
        <f t="shared" si="99"/>
        <v>0.12771506071861002</v>
      </c>
      <c r="V211" s="9">
        <f t="shared" si="99"/>
        <v>0.12030997490513248</v>
      </c>
      <c r="W211" s="9">
        <f t="shared" si="99"/>
        <v>0.11940464757277433</v>
      </c>
      <c r="X211" s="220">
        <f t="shared" si="91"/>
        <v>0.52585235292124843</v>
      </c>
    </row>
    <row r="212" spans="2:24" s="207" customFormat="1" ht="18" thickBot="1">
      <c r="B212" s="205" t="s">
        <v>18</v>
      </c>
      <c r="C212" s="209" t="s">
        <v>41</v>
      </c>
      <c r="D212" s="9">
        <f>D63/D62</f>
        <v>0.46422866870563029</v>
      </c>
      <c r="E212" s="9">
        <f t="shared" ref="E212:W212" si="100">E63/E62</f>
        <v>0.47703566323954483</v>
      </c>
      <c r="F212" s="9">
        <f t="shared" si="100"/>
        <v>0.48601612850799258</v>
      </c>
      <c r="G212" s="9">
        <f t="shared" si="100"/>
        <v>0.76491976759028779</v>
      </c>
      <c r="H212" s="22">
        <f t="shared" si="100"/>
        <v>0.98628732347043468</v>
      </c>
      <c r="I212" s="9">
        <f t="shared" si="100"/>
        <v>0.90148811410560814</v>
      </c>
      <c r="J212" s="9">
        <f t="shared" si="100"/>
        <v>0.96533774878019241</v>
      </c>
      <c r="K212" s="9">
        <f t="shared" si="100"/>
        <v>0.9563340867565765</v>
      </c>
      <c r="L212" s="22">
        <f t="shared" si="100"/>
        <v>0.99748676367568101</v>
      </c>
      <c r="M212" s="9">
        <f t="shared" si="100"/>
        <v>1.0406119148805992</v>
      </c>
      <c r="N212" s="9">
        <f t="shared" si="100"/>
        <v>1.0062641476421108</v>
      </c>
      <c r="O212" s="9">
        <f>O63/O62</f>
        <v>1.0111984490957036</v>
      </c>
      <c r="P212" s="22">
        <f t="shared" si="100"/>
        <v>0.99740395270564186</v>
      </c>
      <c r="Q212" s="9">
        <f t="shared" si="100"/>
        <v>0.99789658864029429</v>
      </c>
      <c r="R212" s="9">
        <f t="shared" si="100"/>
        <v>0.99718618538681258</v>
      </c>
      <c r="S212" s="9">
        <f t="shared" si="100"/>
        <v>0.97655202794199514</v>
      </c>
      <c r="T212" s="22">
        <f t="shared" si="100"/>
        <v>0.95658098440033912</v>
      </c>
      <c r="U212" s="9">
        <f t="shared" si="100"/>
        <v>0.95973953569464165</v>
      </c>
      <c r="V212" s="9">
        <f t="shared" si="100"/>
        <v>0.9728058881254843</v>
      </c>
      <c r="W212" s="9">
        <f t="shared" si="100"/>
        <v>0.18450231980899343</v>
      </c>
      <c r="X212" s="220">
        <f t="shared" si="91"/>
        <v>0.85499381295772814</v>
      </c>
    </row>
    <row r="213" spans="2:24" s="207" customFormat="1" ht="18" thickBot="1">
      <c r="B213" s="208" t="s">
        <v>19</v>
      </c>
      <c r="C213" s="209" t="s">
        <v>42</v>
      </c>
      <c r="D213" s="9">
        <f>D69/D68</f>
        <v>0.48076082147031807</v>
      </c>
      <c r="E213" s="9">
        <f t="shared" ref="E213:W213" si="101">E69/E68</f>
        <v>0.48076082147031807</v>
      </c>
      <c r="F213" s="9">
        <f t="shared" si="101"/>
        <v>0.49823327801429951</v>
      </c>
      <c r="G213" s="9">
        <f t="shared" si="101"/>
        <v>0.52279617478777329</v>
      </c>
      <c r="H213" s="22">
        <f t="shared" si="101"/>
        <v>0.53623711061244772</v>
      </c>
      <c r="I213" s="9">
        <f t="shared" si="101"/>
        <v>0.52315130259529696</v>
      </c>
      <c r="J213" s="9">
        <f t="shared" si="101"/>
        <v>0.52216934092562772</v>
      </c>
      <c r="K213" s="9">
        <f t="shared" si="101"/>
        <v>0.57890286400902746</v>
      </c>
      <c r="L213" s="22">
        <f t="shared" si="101"/>
        <v>0.55796906283473691</v>
      </c>
      <c r="M213" s="9">
        <f t="shared" si="101"/>
        <v>0.56250397200670721</v>
      </c>
      <c r="N213" s="9">
        <f t="shared" si="101"/>
        <v>0.53379213659355262</v>
      </c>
      <c r="O213" s="9">
        <f t="shared" si="101"/>
        <v>0.48450464168258972</v>
      </c>
      <c r="P213" s="22">
        <f t="shared" si="101"/>
        <v>0.54622398127262928</v>
      </c>
      <c r="Q213" s="9">
        <f t="shared" si="101"/>
        <v>0.50438966163469767</v>
      </c>
      <c r="R213" s="9">
        <f t="shared" si="101"/>
        <v>0.45813368148924882</v>
      </c>
      <c r="S213" s="9">
        <f t="shared" si="101"/>
        <v>0.43950609518718375</v>
      </c>
      <c r="T213" s="22">
        <f t="shared" si="101"/>
        <v>0.43668275004091678</v>
      </c>
      <c r="U213" s="9">
        <f t="shared" si="101"/>
        <v>0.45250441247681383</v>
      </c>
      <c r="V213" s="9">
        <f t="shared" si="101"/>
        <v>0.45041076997318003</v>
      </c>
      <c r="W213" s="9">
        <f t="shared" si="101"/>
        <v>0.45462707932918095</v>
      </c>
      <c r="X213" s="220">
        <f t="shared" si="91"/>
        <v>0.50121299792032736</v>
      </c>
    </row>
    <row r="214" spans="2:24" s="207" customFormat="1" ht="18" thickBot="1">
      <c r="B214" s="208" t="s">
        <v>20</v>
      </c>
      <c r="C214" s="209" t="s">
        <v>43</v>
      </c>
      <c r="D214" s="9">
        <f>D75/D74</f>
        <v>1.5758072857518541</v>
      </c>
      <c r="E214" s="9">
        <f t="shared" ref="E214:W214" si="102">E75/E74</f>
        <v>1.3051448854965904</v>
      </c>
      <c r="F214" s="9">
        <f t="shared" si="102"/>
        <v>2.0444940274063081</v>
      </c>
      <c r="G214" s="9">
        <f t="shared" si="102"/>
        <v>1.947413717684495</v>
      </c>
      <c r="H214" s="22">
        <f t="shared" si="102"/>
        <v>2.1697933375096143</v>
      </c>
      <c r="I214" s="9">
        <f t="shared" si="102"/>
        <v>2.3760903945679797</v>
      </c>
      <c r="J214" s="9">
        <f t="shared" si="102"/>
        <v>2.6197961839686497</v>
      </c>
      <c r="K214" s="9">
        <f t="shared" si="102"/>
        <v>3.1386009733346625</v>
      </c>
      <c r="L214" s="22">
        <f t="shared" si="102"/>
        <v>1.817436111921368</v>
      </c>
      <c r="M214" s="9">
        <f t="shared" si="102"/>
        <v>1.8265987205727159</v>
      </c>
      <c r="N214" s="9">
        <f t="shared" si="102"/>
        <v>2.395983598760937</v>
      </c>
      <c r="O214" s="9">
        <f>O75/O74</f>
        <v>0.16445686065305334</v>
      </c>
      <c r="P214" s="22">
        <f t="shared" si="102"/>
        <v>0.15802944439627251</v>
      </c>
      <c r="Q214" s="9">
        <f t="shared" si="102"/>
        <v>0.14975256198203812</v>
      </c>
      <c r="R214" s="9">
        <f>R75/R74</f>
        <v>0.16441030188609276</v>
      </c>
      <c r="S214" s="9">
        <f t="shared" si="102"/>
        <v>0.15958747246843472</v>
      </c>
      <c r="T214" s="22">
        <f t="shared" si="102"/>
        <v>0.15895038974708198</v>
      </c>
      <c r="U214" s="9">
        <f t="shared" si="102"/>
        <v>0.15773041288217965</v>
      </c>
      <c r="V214" s="9">
        <f t="shared" si="102"/>
        <v>0.15941323998744353</v>
      </c>
      <c r="W214" s="9">
        <f t="shared" si="102"/>
        <v>0.16769262957909406</v>
      </c>
      <c r="X214" s="220">
        <f t="shared" si="91"/>
        <v>1.2328591275278433</v>
      </c>
    </row>
    <row r="215" spans="2:24" s="207" customFormat="1" ht="18" thickBot="1">
      <c r="B215" s="208" t="s">
        <v>21</v>
      </c>
      <c r="C215" s="209" t="s">
        <v>44</v>
      </c>
      <c r="D215" s="9">
        <f>D81/D80</f>
        <v>0.63775234182088725</v>
      </c>
      <c r="E215" s="9">
        <f t="shared" ref="E215:W215" si="103">E81/E80</f>
        <v>0.63775234182088725</v>
      </c>
      <c r="F215" s="9">
        <f t="shared" si="103"/>
        <v>0.63775234182088725</v>
      </c>
      <c r="G215" s="9">
        <f t="shared" si="103"/>
        <v>0.63775234182088725</v>
      </c>
      <c r="H215" s="22">
        <f t="shared" si="103"/>
        <v>0.65557742562099663</v>
      </c>
      <c r="I215" s="9">
        <f t="shared" si="103"/>
        <v>0.64521994099026958</v>
      </c>
      <c r="J215" s="9">
        <f t="shared" si="103"/>
        <v>0.65011726394981728</v>
      </c>
      <c r="K215" s="9">
        <f t="shared" si="103"/>
        <v>0.68440646957029372</v>
      </c>
      <c r="L215" s="22">
        <f t="shared" si="103"/>
        <v>0.68634138815689616</v>
      </c>
      <c r="M215" s="9">
        <f t="shared" si="103"/>
        <v>0.62509421265804332</v>
      </c>
      <c r="N215" s="9">
        <f t="shared" si="103"/>
        <v>0.60030513157947851</v>
      </c>
      <c r="O215" s="9">
        <f t="shared" si="103"/>
        <v>0.61941709521989052</v>
      </c>
      <c r="P215" s="22">
        <f>P81/P80</f>
        <v>0.56426655222014088</v>
      </c>
      <c r="Q215" s="9">
        <f t="shared" si="103"/>
        <v>0.56426655222014088</v>
      </c>
      <c r="R215" s="9">
        <f t="shared" si="103"/>
        <v>0.46214879524809566</v>
      </c>
      <c r="S215" s="9">
        <f t="shared" si="103"/>
        <v>0.49463766121645047</v>
      </c>
      <c r="T215" s="22">
        <f t="shared" si="103"/>
        <v>0.4099062023990917</v>
      </c>
      <c r="U215" s="9">
        <f t="shared" si="103"/>
        <v>0.42987306357425964</v>
      </c>
      <c r="V215" s="9">
        <f t="shared" si="103"/>
        <v>0.39080433905343109</v>
      </c>
      <c r="W215" s="9">
        <f t="shared" si="103"/>
        <v>0.36514361076961571</v>
      </c>
      <c r="X215" s="220">
        <f t="shared" si="91"/>
        <v>0.56992675358652312</v>
      </c>
    </row>
    <row r="216" spans="2:24" s="207" customFormat="1" ht="18" thickBot="1">
      <c r="B216" s="208" t="s">
        <v>22</v>
      </c>
      <c r="C216" s="209" t="s">
        <v>45</v>
      </c>
      <c r="D216" s="9">
        <f>D87/D86</f>
        <v>0.52731821276186319</v>
      </c>
      <c r="E216" s="9">
        <f t="shared" ref="E216:W216" si="104">E87/E86</f>
        <v>0.5148237819912258</v>
      </c>
      <c r="F216" s="9">
        <f t="shared" si="104"/>
        <v>0.49542336336516302</v>
      </c>
      <c r="G216" s="9">
        <f t="shared" si="104"/>
        <v>0.43669651433356149</v>
      </c>
      <c r="H216" s="22">
        <f t="shared" si="104"/>
        <v>0.44104806158211901</v>
      </c>
      <c r="I216" s="9">
        <f t="shared" si="104"/>
        <v>0.45744896675278662</v>
      </c>
      <c r="J216" s="9">
        <f t="shared" si="104"/>
        <v>0.47001452234802826</v>
      </c>
      <c r="K216" s="9">
        <f t="shared" si="104"/>
        <v>0.46579861989916105</v>
      </c>
      <c r="L216" s="22">
        <f t="shared" si="104"/>
        <v>0.47607282842586968</v>
      </c>
      <c r="M216" s="9">
        <f t="shared" si="104"/>
        <v>0.47907473024394298</v>
      </c>
      <c r="N216" s="9">
        <f t="shared" si="104"/>
        <v>0.48289525480544532</v>
      </c>
      <c r="O216" s="9">
        <f t="shared" si="104"/>
        <v>0.51230030455750153</v>
      </c>
      <c r="P216" s="22">
        <f>P87/P86</f>
        <v>0.49701897932693795</v>
      </c>
      <c r="Q216" s="9">
        <f t="shared" si="104"/>
        <v>0.4817121454313914</v>
      </c>
      <c r="R216" s="9">
        <f t="shared" si="104"/>
        <v>0.32759460097071041</v>
      </c>
      <c r="S216" s="9">
        <f t="shared" si="104"/>
        <v>0.325373538807742</v>
      </c>
      <c r="T216" s="22">
        <f t="shared" si="104"/>
        <v>0.32942220013050888</v>
      </c>
      <c r="U216" s="9">
        <f t="shared" si="104"/>
        <v>0.34822488648297278</v>
      </c>
      <c r="V216" s="9">
        <f t="shared" si="104"/>
        <v>0.35198078348793171</v>
      </c>
      <c r="W216" s="9">
        <f t="shared" si="104"/>
        <v>0.49816152178415135</v>
      </c>
      <c r="X216" s="220">
        <f t="shared" si="91"/>
        <v>0.44592019087445073</v>
      </c>
    </row>
    <row r="217" spans="2:24" s="207" customFormat="1" ht="18" thickBot="1">
      <c r="B217" s="208" t="s">
        <v>23</v>
      </c>
      <c r="C217" s="209" t="s">
        <v>46</v>
      </c>
      <c r="D217" s="9">
        <f>D93/D92</f>
        <v>0.5483097834278915</v>
      </c>
      <c r="E217" s="9">
        <f t="shared" ref="E217:W217" si="105">E93/E92</f>
        <v>0.5483097834278915</v>
      </c>
      <c r="F217" s="9">
        <f t="shared" si="105"/>
        <v>0.5483097834278915</v>
      </c>
      <c r="G217" s="9">
        <f t="shared" si="105"/>
        <v>0.35064154148071008</v>
      </c>
      <c r="H217" s="22">
        <f t="shared" si="105"/>
        <v>0.26676807581173084</v>
      </c>
      <c r="I217" s="9">
        <f t="shared" si="105"/>
        <v>0.34268234798428082</v>
      </c>
      <c r="J217" s="9">
        <f t="shared" si="105"/>
        <v>0.4568669627480737</v>
      </c>
      <c r="K217" s="9">
        <f t="shared" si="105"/>
        <v>0.60649751549131103</v>
      </c>
      <c r="L217" s="22">
        <f t="shared" si="105"/>
        <v>0.60008399940982837</v>
      </c>
      <c r="M217" s="9">
        <f t="shared" si="105"/>
        <v>0.62752962243678767</v>
      </c>
      <c r="N217" s="9">
        <f>N93/N92</f>
        <v>0.5357945494452353</v>
      </c>
      <c r="O217" s="9">
        <f t="shared" si="105"/>
        <v>0.53176931722509424</v>
      </c>
      <c r="P217" s="22">
        <f t="shared" si="105"/>
        <v>0.52445279077577123</v>
      </c>
      <c r="Q217" s="9">
        <f t="shared" si="105"/>
        <v>0.51875811804576022</v>
      </c>
      <c r="R217" s="9">
        <f t="shared" si="105"/>
        <v>0.52160489117975406</v>
      </c>
      <c r="S217" s="9">
        <f t="shared" si="105"/>
        <v>0.7579944138202297</v>
      </c>
      <c r="T217" s="22">
        <f t="shared" si="105"/>
        <v>0.79195726033072256</v>
      </c>
      <c r="U217" s="9">
        <f t="shared" si="105"/>
        <v>0.78226685289340381</v>
      </c>
      <c r="V217" s="9">
        <f t="shared" si="105"/>
        <v>0.77434967144932587</v>
      </c>
      <c r="W217" s="9">
        <f t="shared" si="105"/>
        <v>0.72838658213355323</v>
      </c>
      <c r="X217" s="220">
        <f t="shared" si="91"/>
        <v>0.5681666931472622</v>
      </c>
    </row>
    <row r="218" spans="2:24" s="207" customFormat="1" ht="18" thickBot="1">
      <c r="B218" s="208" t="s">
        <v>24</v>
      </c>
      <c r="C218" s="209" t="s">
        <v>47</v>
      </c>
      <c r="D218" s="9">
        <f>D99/D98</f>
        <v>0.2652048831488345</v>
      </c>
      <c r="E218" s="9">
        <f t="shared" ref="E218:W218" si="106">E99/E98</f>
        <v>0.2652048831488345</v>
      </c>
      <c r="F218" s="9">
        <f t="shared" si="106"/>
        <v>0.2652048831488345</v>
      </c>
      <c r="G218" s="9">
        <f t="shared" si="106"/>
        <v>0.26206881764793805</v>
      </c>
      <c r="H218" s="22">
        <f t="shared" si="106"/>
        <v>0.25844829291954935</v>
      </c>
      <c r="I218" s="9">
        <f t="shared" si="106"/>
        <v>0.25606698714252796</v>
      </c>
      <c r="J218" s="9">
        <f t="shared" si="106"/>
        <v>0.26066947519842398</v>
      </c>
      <c r="K218" s="9">
        <f t="shared" si="106"/>
        <v>0.26294439680590087</v>
      </c>
      <c r="L218" s="22">
        <f t="shared" si="106"/>
        <v>0.27468858256302581</v>
      </c>
      <c r="M218" s="9">
        <f t="shared" si="106"/>
        <v>0.26604076545367111</v>
      </c>
      <c r="N218" s="9">
        <f t="shared" si="106"/>
        <v>0.25365843270443378</v>
      </c>
      <c r="O218" s="9">
        <f t="shared" si="106"/>
        <v>0.23538530770178842</v>
      </c>
      <c r="P218" s="22">
        <f t="shared" si="106"/>
        <v>0.22603615736975388</v>
      </c>
      <c r="Q218" s="9">
        <f t="shared" si="106"/>
        <v>0.22718287246001101</v>
      </c>
      <c r="R218" s="9">
        <f t="shared" si="106"/>
        <v>0.22694566958165138</v>
      </c>
      <c r="S218" s="9">
        <f t="shared" si="106"/>
        <v>0.23170475715356897</v>
      </c>
      <c r="T218" s="22">
        <f t="shared" si="106"/>
        <v>0.23601014279704596</v>
      </c>
      <c r="U218" s="9">
        <f t="shared" si="106"/>
        <v>0.2384230918934285</v>
      </c>
      <c r="V218" s="9">
        <f>V99/V98</f>
        <v>0.22575740523578502</v>
      </c>
      <c r="W218" s="9">
        <f t="shared" si="106"/>
        <v>0.21833635751486993</v>
      </c>
      <c r="X218" s="220">
        <f t="shared" si="91"/>
        <v>0.24779910807949385</v>
      </c>
    </row>
    <row r="219" spans="2:24" s="207" customFormat="1" ht="18" thickBot="1">
      <c r="B219" s="208" t="s">
        <v>25</v>
      </c>
      <c r="C219" s="209" t="s">
        <v>48</v>
      </c>
      <c r="D219" s="9">
        <f>D105/D104</f>
        <v>0.16783745002218756</v>
      </c>
      <c r="E219" s="9">
        <f t="shared" ref="E219:V219" si="107">E105/E104</f>
        <v>0.16783745002218756</v>
      </c>
      <c r="F219" s="9">
        <f t="shared" si="107"/>
        <v>0.14285350146332135</v>
      </c>
      <c r="G219" s="9">
        <f t="shared" si="107"/>
        <v>0.17230649376389459</v>
      </c>
      <c r="H219" s="22">
        <f t="shared" si="107"/>
        <v>0.19072295485025503</v>
      </c>
      <c r="I219" s="9">
        <f t="shared" si="107"/>
        <v>0.23482566600757351</v>
      </c>
      <c r="J219" s="9">
        <f t="shared" si="107"/>
        <v>0.18789397455811541</v>
      </c>
      <c r="K219" s="9">
        <f t="shared" si="107"/>
        <v>0.16923377486561014</v>
      </c>
      <c r="L219" s="22">
        <f t="shared" si="107"/>
        <v>0.165635685029378</v>
      </c>
      <c r="M219" s="9">
        <f t="shared" si="107"/>
        <v>0.17871066144887085</v>
      </c>
      <c r="N219" s="9">
        <f t="shared" si="107"/>
        <v>0.18114736847684493</v>
      </c>
      <c r="O219" s="9">
        <f t="shared" si="107"/>
        <v>0.21547472701836068</v>
      </c>
      <c r="P219" s="22">
        <f t="shared" si="107"/>
        <v>0.17935125052166362</v>
      </c>
      <c r="Q219" s="9">
        <f t="shared" si="107"/>
        <v>0.20476200841115083</v>
      </c>
      <c r="R219" s="9">
        <f t="shared" si="107"/>
        <v>0.15735287726454303</v>
      </c>
      <c r="S219" s="9">
        <f t="shared" si="107"/>
        <v>0.19765462359876543</v>
      </c>
      <c r="T219" s="22">
        <f t="shared" si="107"/>
        <v>0.16402514985346442</v>
      </c>
      <c r="U219" s="9">
        <f t="shared" si="107"/>
        <v>0.13356575953424943</v>
      </c>
      <c r="V219" s="9">
        <f t="shared" si="107"/>
        <v>0.17408567643412381</v>
      </c>
      <c r="W219" s="9">
        <f>W105/W104</f>
        <v>0.17961385896348081</v>
      </c>
      <c r="X219" s="220">
        <f t="shared" si="91"/>
        <v>0.17824454560540204</v>
      </c>
    </row>
    <row r="220" spans="2:24" s="207" customFormat="1" ht="18" thickBot="1">
      <c r="B220" s="208" t="s">
        <v>26</v>
      </c>
      <c r="C220" s="209" t="s">
        <v>49</v>
      </c>
      <c r="D220" s="9">
        <f>D111/D110</f>
        <v>0.61765243744201526</v>
      </c>
      <c r="E220" s="9">
        <f t="shared" ref="E220:W220" si="108">E111/E110</f>
        <v>0.60293591564156856</v>
      </c>
      <c r="F220" s="9">
        <f t="shared" si="108"/>
        <v>0.4956861222355452</v>
      </c>
      <c r="G220" s="9">
        <f t="shared" si="108"/>
        <v>0.59246617624452658</v>
      </c>
      <c r="H220" s="22">
        <f t="shared" si="108"/>
        <v>0.58607801919906233</v>
      </c>
      <c r="I220" s="9">
        <f t="shared" si="108"/>
        <v>0.5730387358276855</v>
      </c>
      <c r="J220" s="9">
        <f t="shared" si="108"/>
        <v>0.56624580059398832</v>
      </c>
      <c r="K220" s="9">
        <f t="shared" si="108"/>
        <v>0.58145738208557896</v>
      </c>
      <c r="L220" s="22">
        <f t="shared" si="108"/>
        <v>0.59567810594309012</v>
      </c>
      <c r="M220" s="9">
        <f t="shared" si="108"/>
        <v>0.64098685192176241</v>
      </c>
      <c r="N220" s="9">
        <f t="shared" si="108"/>
        <v>0.65588273806698771</v>
      </c>
      <c r="O220" s="9">
        <f t="shared" si="108"/>
        <v>0.70037289057677998</v>
      </c>
      <c r="P220" s="22">
        <f>P111/P110</f>
        <v>0.72669873772243376</v>
      </c>
      <c r="Q220" s="9">
        <f t="shared" si="108"/>
        <v>0.74302871239378809</v>
      </c>
      <c r="R220" s="9">
        <f t="shared" si="108"/>
        <v>0.7634664196999863</v>
      </c>
      <c r="S220" s="9">
        <f t="shared" si="108"/>
        <v>0.78536284942669055</v>
      </c>
      <c r="T220" s="22">
        <f t="shared" si="108"/>
        <v>0.66142930285230017</v>
      </c>
      <c r="U220" s="9">
        <f t="shared" si="108"/>
        <v>0.64694634503477666</v>
      </c>
      <c r="V220" s="9">
        <f t="shared" si="108"/>
        <v>0.64132151218751388</v>
      </c>
      <c r="W220" s="9">
        <f t="shared" si="108"/>
        <v>0.6722816697488857</v>
      </c>
      <c r="X220" s="220">
        <f t="shared" si="91"/>
        <v>0.6424508362422483</v>
      </c>
    </row>
    <row r="221" spans="2:24" s="207" customFormat="1" ht="18" thickBot="1">
      <c r="B221" s="208" t="s">
        <v>27</v>
      </c>
      <c r="C221" s="209" t="s">
        <v>50</v>
      </c>
      <c r="D221" s="9">
        <f>D117/D116</f>
        <v>0.36354438669767564</v>
      </c>
      <c r="E221" s="9">
        <f t="shared" ref="E221:W221" si="109">E117/E116</f>
        <v>0.29103219351087162</v>
      </c>
      <c r="F221" s="9">
        <f t="shared" si="109"/>
        <v>0.29124574008120635</v>
      </c>
      <c r="G221" s="9">
        <f t="shared" si="109"/>
        <v>0.32033883217914505</v>
      </c>
      <c r="H221" s="22">
        <f t="shared" si="109"/>
        <v>0.33718522947045099</v>
      </c>
      <c r="I221" s="9">
        <f t="shared" si="109"/>
        <v>0.37727682180440941</v>
      </c>
      <c r="J221" s="9">
        <f t="shared" si="109"/>
        <v>0.35533086609931241</v>
      </c>
      <c r="K221" s="9">
        <f t="shared" si="109"/>
        <v>0.3442532419957241</v>
      </c>
      <c r="L221" s="22">
        <f t="shared" si="109"/>
        <v>0.3646917807417876</v>
      </c>
      <c r="M221" s="9">
        <f t="shared" si="109"/>
        <v>0.38954053531240662</v>
      </c>
      <c r="N221" s="9">
        <f t="shared" si="109"/>
        <v>0.35761150635329575</v>
      </c>
      <c r="O221" s="9">
        <f t="shared" si="109"/>
        <v>0.33041659447592836</v>
      </c>
      <c r="P221" s="22">
        <f>P117/P116</f>
        <v>0.31103009633642437</v>
      </c>
      <c r="Q221" s="9">
        <f t="shared" si="109"/>
        <v>0.31103009633642437</v>
      </c>
      <c r="R221" s="9">
        <f t="shared" si="109"/>
        <v>0.32474836764928983</v>
      </c>
      <c r="S221" s="9">
        <f t="shared" si="109"/>
        <v>0.32215114610820783</v>
      </c>
      <c r="T221" s="22">
        <f t="shared" si="109"/>
        <v>0.33648371484985434</v>
      </c>
      <c r="U221" s="9">
        <f t="shared" si="109"/>
        <v>0.36840629882086279</v>
      </c>
      <c r="V221" s="9">
        <f t="shared" si="109"/>
        <v>0.40305935779780611</v>
      </c>
      <c r="W221" s="9">
        <f t="shared" si="109"/>
        <v>0.45377317497517539</v>
      </c>
      <c r="X221" s="220">
        <f t="shared" si="91"/>
        <v>0.34765749907981303</v>
      </c>
    </row>
    <row r="222" spans="2:24" s="207" customFormat="1" ht="18" thickBot="1">
      <c r="B222" s="210" t="s">
        <v>28</v>
      </c>
      <c r="C222" s="209" t="s">
        <v>51</v>
      </c>
      <c r="D222" s="9">
        <f>D123/D122</f>
        <v>0.51749471055802021</v>
      </c>
      <c r="E222" s="9">
        <f t="shared" ref="E222:V222" si="110">E123/E122</f>
        <v>0.51749471055802021</v>
      </c>
      <c r="F222" s="9">
        <f t="shared" si="110"/>
        <v>0.51749471055802021</v>
      </c>
      <c r="G222" s="9">
        <f t="shared" si="110"/>
        <v>0.54380393515875114</v>
      </c>
      <c r="H222" s="22">
        <f t="shared" si="110"/>
        <v>0.53814596015946758</v>
      </c>
      <c r="I222" s="9">
        <f t="shared" si="110"/>
        <v>0.57877168987770511</v>
      </c>
      <c r="J222" s="9">
        <f t="shared" si="110"/>
        <v>0.61923165415909087</v>
      </c>
      <c r="K222" s="9">
        <f t="shared" si="110"/>
        <v>0.73351009158763081</v>
      </c>
      <c r="L222" s="22">
        <f t="shared" si="110"/>
        <v>1.0220174783791358</v>
      </c>
      <c r="M222" s="9">
        <f t="shared" si="110"/>
        <v>1.0175117532844793</v>
      </c>
      <c r="N222" s="9">
        <f>N123/N122</f>
        <v>1.0387118798122732</v>
      </c>
      <c r="O222" s="9">
        <f t="shared" si="110"/>
        <v>1.2052815690723104</v>
      </c>
      <c r="P222" s="22">
        <f t="shared" si="110"/>
        <v>1.2275812899169229</v>
      </c>
      <c r="Q222" s="9">
        <f t="shared" si="110"/>
        <v>1.2335489430036768</v>
      </c>
      <c r="R222" s="9">
        <f t="shared" si="110"/>
        <v>1.2801636573965187</v>
      </c>
      <c r="S222" s="9">
        <f t="shared" si="110"/>
        <v>1.2970763857582641</v>
      </c>
      <c r="T222" s="22">
        <f t="shared" si="110"/>
        <v>1.2990069319944459</v>
      </c>
      <c r="U222" s="9">
        <f t="shared" si="110"/>
        <v>1.3241976772920039</v>
      </c>
      <c r="V222" s="9">
        <f t="shared" si="110"/>
        <v>1.3782685163823329</v>
      </c>
      <c r="W222" s="9">
        <v>1.3782685163823329</v>
      </c>
      <c r="X222" s="220">
        <f t="shared" si="91"/>
        <v>0.96337910306457031</v>
      </c>
    </row>
    <row r="223" spans="2:24" s="207" customFormat="1" ht="18" thickBot="1">
      <c r="B223" s="208" t="s">
        <v>29</v>
      </c>
      <c r="C223" s="209" t="s">
        <v>52</v>
      </c>
      <c r="D223" s="9">
        <f>D129/D128</f>
        <v>1.182635021490986</v>
      </c>
      <c r="E223" s="9">
        <f t="shared" ref="E223:W223" si="111">E129/E128</f>
        <v>1.182635021490986</v>
      </c>
      <c r="F223" s="9">
        <f t="shared" si="111"/>
        <v>1.1585351474377983</v>
      </c>
      <c r="G223" s="9">
        <f t="shared" si="111"/>
        <v>1.1440831904174271</v>
      </c>
      <c r="H223" s="22">
        <f t="shared" si="111"/>
        <v>1.1423742368663368</v>
      </c>
      <c r="I223" s="9">
        <f t="shared" si="111"/>
        <v>1.1872091958258648</v>
      </c>
      <c r="J223" s="9">
        <f t="shared" si="111"/>
        <v>1.1949484178251111</v>
      </c>
      <c r="K223" s="9">
        <f t="shared" si="111"/>
        <v>1.2139496583651526</v>
      </c>
      <c r="L223" s="22">
        <f t="shared" si="111"/>
        <v>1.2158126574127974</v>
      </c>
      <c r="M223" s="9">
        <f t="shared" si="111"/>
        <v>1.2198575563317329</v>
      </c>
      <c r="N223" s="9">
        <f>N129/N128</f>
        <v>1.2255607211372559</v>
      </c>
      <c r="O223" s="9">
        <f t="shared" si="111"/>
        <v>1.2285135903413176</v>
      </c>
      <c r="P223" s="22">
        <f t="shared" si="111"/>
        <v>1.225147861892284</v>
      </c>
      <c r="Q223" s="9">
        <f t="shared" si="111"/>
        <v>1.2273096759963305</v>
      </c>
      <c r="R223" s="9">
        <f t="shared" si="111"/>
        <v>1.2290513091212125</v>
      </c>
      <c r="S223" s="9">
        <f t="shared" si="111"/>
        <v>1.2133811948913973</v>
      </c>
      <c r="T223" s="22">
        <f t="shared" si="111"/>
        <v>1.1925350469654836</v>
      </c>
      <c r="U223" s="9">
        <f t="shared" si="111"/>
        <v>1.1878202230641335</v>
      </c>
      <c r="V223" s="9">
        <f t="shared" si="111"/>
        <v>1.1826831323534677</v>
      </c>
      <c r="W223" s="9">
        <f t="shared" si="111"/>
        <v>1.1611545804466297</v>
      </c>
      <c r="X223" s="220">
        <f t="shared" si="91"/>
        <v>1.1957598719836855</v>
      </c>
    </row>
    <row r="224" spans="2:24" s="207" customFormat="1" ht="18" thickBot="1">
      <c r="B224" s="208" t="s">
        <v>30</v>
      </c>
      <c r="C224" s="209" t="s">
        <v>53</v>
      </c>
      <c r="D224" s="9">
        <f>D135/D134</f>
        <v>0.8352179246668362</v>
      </c>
      <c r="E224" s="9">
        <f>E135/E134</f>
        <v>0.84677098622149938</v>
      </c>
      <c r="F224" s="9">
        <f>F135/F134</f>
        <v>0.85600717671116044</v>
      </c>
      <c r="G224" s="9">
        <f>G135/G134</f>
        <v>0.86492058962640572</v>
      </c>
      <c r="H224" s="22">
        <f t="shared" ref="H224:W224" si="112">H135/H134</f>
        <v>0.88011443832901071</v>
      </c>
      <c r="I224" s="9">
        <f t="shared" si="112"/>
        <v>0.87362576256871083</v>
      </c>
      <c r="J224" s="9">
        <f t="shared" si="112"/>
        <v>0.85193996951029138</v>
      </c>
      <c r="K224" s="9">
        <f t="shared" si="112"/>
        <v>0.84753019178558686</v>
      </c>
      <c r="L224" s="22">
        <f t="shared" si="112"/>
        <v>0.84785327238262342</v>
      </c>
      <c r="M224" s="9">
        <f t="shared" si="112"/>
        <v>0.84448431709208416</v>
      </c>
      <c r="N224" s="9">
        <f>N135/N134</f>
        <v>0.8426292601394465</v>
      </c>
      <c r="O224" s="9">
        <f t="shared" si="112"/>
        <v>0.84584032617915983</v>
      </c>
      <c r="P224" s="22">
        <f t="shared" si="112"/>
        <v>0.84201712911540194</v>
      </c>
      <c r="Q224" s="9">
        <f t="shared" si="112"/>
        <v>0.8427046913952484</v>
      </c>
      <c r="R224" s="9">
        <f t="shared" si="112"/>
        <v>0.83758681371482768</v>
      </c>
      <c r="S224" s="9">
        <f t="shared" si="112"/>
        <v>0.83575490744990777</v>
      </c>
      <c r="T224" s="22">
        <f t="shared" si="112"/>
        <v>0.83533009029413385</v>
      </c>
      <c r="U224" s="9">
        <f t="shared" si="112"/>
        <v>0.83562595171398113</v>
      </c>
      <c r="V224" s="9">
        <f t="shared" si="112"/>
        <v>0.84196755611033258</v>
      </c>
      <c r="W224" s="9">
        <f t="shared" si="112"/>
        <v>0.83498676507575331</v>
      </c>
      <c r="X224" s="220">
        <f t="shared" si="91"/>
        <v>0.84714540600412003</v>
      </c>
    </row>
    <row r="225" spans="1:24" s="207" customFormat="1" ht="17">
      <c r="B225" s="208" t="s">
        <v>31</v>
      </c>
      <c r="C225" s="211" t="s">
        <v>54</v>
      </c>
      <c r="D225" s="9">
        <f>D141/D140</f>
        <v>0.72354749421070652</v>
      </c>
      <c r="E225" s="9">
        <f>E141/E140</f>
        <v>0.71628363034746079</v>
      </c>
      <c r="F225" s="9">
        <f>F141/F140</f>
        <v>0.72404814548892849</v>
      </c>
      <c r="G225" s="9">
        <f>G141/G140</f>
        <v>0.72404814548892849</v>
      </c>
      <c r="H225" s="22">
        <f t="shared" ref="H225:W225" si="113">H141/H140</f>
        <v>0.72438317023822441</v>
      </c>
      <c r="I225" s="9">
        <f t="shared" si="113"/>
        <v>0.71663907345495192</v>
      </c>
      <c r="J225" s="9">
        <f t="shared" si="113"/>
        <v>0.7083287009121747</v>
      </c>
      <c r="K225" s="9">
        <f t="shared" si="113"/>
        <v>0.72164975534286491</v>
      </c>
      <c r="L225" s="22">
        <f t="shared" si="113"/>
        <v>0.71168087374310529</v>
      </c>
      <c r="M225" s="9">
        <f t="shared" si="113"/>
        <v>0.70710705176214439</v>
      </c>
      <c r="N225" s="9">
        <f t="shared" si="113"/>
        <v>0.63010363185982154</v>
      </c>
      <c r="O225" s="9">
        <f>O141/O140</f>
        <v>0.70730709868689157</v>
      </c>
      <c r="P225" s="22">
        <f t="shared" si="113"/>
        <v>0.65519123998138284</v>
      </c>
      <c r="Q225" s="9">
        <f t="shared" si="113"/>
        <v>0.6478342655933762</v>
      </c>
      <c r="R225" s="9">
        <f t="shared" si="113"/>
        <v>0.65824833718417508</v>
      </c>
      <c r="S225" s="9">
        <f t="shared" si="113"/>
        <v>0.66005658537549017</v>
      </c>
      <c r="T225" s="22">
        <f t="shared" si="113"/>
        <v>0.65652064352403949</v>
      </c>
      <c r="U225" s="9">
        <f t="shared" si="113"/>
        <v>0.66177654707648614</v>
      </c>
      <c r="V225" s="9">
        <f t="shared" si="113"/>
        <v>0.63360973125541487</v>
      </c>
      <c r="W225" s="9">
        <f t="shared" si="113"/>
        <v>0.64523608606241312</v>
      </c>
      <c r="X225" s="220">
        <f t="shared" si="91"/>
        <v>0.68668001037944892</v>
      </c>
    </row>
    <row r="226" spans="1:24" s="207" customFormat="1">
      <c r="G226" s="212"/>
      <c r="K226" s="212"/>
      <c r="O226" s="212"/>
      <c r="S226" s="212"/>
      <c r="X226" s="220"/>
    </row>
    <row r="227" spans="1:24" s="207" customFormat="1">
      <c r="G227" s="212"/>
      <c r="K227" s="212"/>
      <c r="O227" s="212"/>
      <c r="S227" s="212"/>
      <c r="X227" s="220"/>
    </row>
    <row r="228" spans="1:24" s="207" customFormat="1">
      <c r="G228" s="212"/>
      <c r="K228" s="212"/>
      <c r="O228" s="212"/>
      <c r="S228" s="212"/>
      <c r="X228" s="220"/>
    </row>
    <row r="229" spans="1:24" s="207" customFormat="1">
      <c r="A229" s="207">
        <v>1</v>
      </c>
      <c r="B229" s="207" t="s">
        <v>81</v>
      </c>
      <c r="C229" s="207" t="s">
        <v>62</v>
      </c>
      <c r="G229" s="212"/>
      <c r="K229" s="212"/>
      <c r="O229" s="212"/>
      <c r="S229" s="212"/>
      <c r="X229" s="220"/>
    </row>
    <row r="230" spans="1:24" s="207" customFormat="1" ht="23">
      <c r="B230" s="207" t="s">
        <v>82</v>
      </c>
      <c r="C230" s="213" t="s">
        <v>61</v>
      </c>
      <c r="D230" s="214" t="s">
        <v>63</v>
      </c>
      <c r="F230" s="215" t="s">
        <v>77</v>
      </c>
      <c r="G230" s="212">
        <v>45383</v>
      </c>
      <c r="K230" s="212"/>
      <c r="O230" s="212"/>
      <c r="S230" s="212"/>
      <c r="X230" s="220"/>
    </row>
    <row r="231" spans="1:24" s="207" customFormat="1" ht="30">
      <c r="A231" s="207">
        <v>2</v>
      </c>
      <c r="B231" s="207" t="s">
        <v>83</v>
      </c>
      <c r="C231" s="216" t="s">
        <v>64</v>
      </c>
      <c r="D231" s="214" t="s">
        <v>65</v>
      </c>
      <c r="F231" s="207" t="s">
        <v>79</v>
      </c>
      <c r="G231" s="212"/>
      <c r="K231" s="212"/>
      <c r="O231" s="212"/>
      <c r="S231" s="212"/>
      <c r="X231" s="220"/>
    </row>
    <row r="232" spans="1:24" s="207" customFormat="1" ht="23">
      <c r="C232" s="213" t="s">
        <v>66</v>
      </c>
      <c r="D232" s="214">
        <v>45017</v>
      </c>
      <c r="F232" s="207" t="s">
        <v>80</v>
      </c>
      <c r="G232" s="212"/>
      <c r="K232" s="212"/>
      <c r="O232" s="212"/>
      <c r="S232" s="212"/>
      <c r="X232" s="220"/>
    </row>
    <row r="233" spans="1:24" s="207" customFormat="1" ht="30">
      <c r="C233" s="216" t="s">
        <v>67</v>
      </c>
      <c r="D233" s="214" t="s">
        <v>68</v>
      </c>
      <c r="G233" s="212"/>
      <c r="K233" s="212"/>
      <c r="O233" s="212"/>
      <c r="S233" s="212"/>
      <c r="X233" s="220"/>
    </row>
    <row r="234" spans="1:24" s="207" customFormat="1" ht="23">
      <c r="C234" s="213" t="s">
        <v>69</v>
      </c>
      <c r="D234" s="214" t="s">
        <v>70</v>
      </c>
      <c r="G234" s="212"/>
      <c r="K234" s="212"/>
      <c r="O234" s="212"/>
      <c r="S234" s="212"/>
      <c r="X234" s="220"/>
    </row>
    <row r="235" spans="1:24" s="207" customFormat="1" ht="30">
      <c r="C235" s="216" t="s">
        <v>71</v>
      </c>
      <c r="D235" s="214" t="s">
        <v>72</v>
      </c>
      <c r="G235" s="212"/>
      <c r="K235" s="212"/>
      <c r="O235" s="212"/>
      <c r="S235" s="212"/>
      <c r="X235" s="220"/>
    </row>
    <row r="236" spans="1:24" s="207" customFormat="1" ht="20">
      <c r="C236" s="217" t="s">
        <v>75</v>
      </c>
      <c r="D236" s="207" t="s">
        <v>76</v>
      </c>
      <c r="G236" s="212"/>
      <c r="K236" s="212"/>
      <c r="O236" s="212"/>
      <c r="S236" s="212"/>
      <c r="X236" s="220"/>
    </row>
    <row r="237" spans="1:24" s="207" customFormat="1">
      <c r="C237" s="179"/>
      <c r="G237" s="212"/>
      <c r="K237" s="212"/>
      <c r="O237" s="212"/>
      <c r="S237" s="212"/>
      <c r="X237" s="220"/>
    </row>
    <row r="238" spans="1:24" s="207" customFormat="1">
      <c r="C238" s="218"/>
      <c r="G238" s="212"/>
      <c r="K238" s="212"/>
      <c r="O238" s="212"/>
      <c r="S238" s="212"/>
      <c r="X238" s="220"/>
    </row>
    <row r="239" spans="1:24" s="207" customFormat="1" ht="20">
      <c r="C239" s="217"/>
      <c r="G239" s="212"/>
      <c r="K239" s="212"/>
      <c r="O239" s="212"/>
      <c r="S239" s="212"/>
      <c r="X239" s="220"/>
    </row>
    <row r="240" spans="1:24" s="207" customFormat="1" ht="20">
      <c r="C240" s="217"/>
      <c r="G240" s="212"/>
      <c r="K240" s="212"/>
      <c r="O240" s="212"/>
      <c r="S240" s="212"/>
      <c r="X240" s="220"/>
    </row>
    <row r="241" spans="2:24" s="207" customFormat="1">
      <c r="B241" s="207" t="s">
        <v>87</v>
      </c>
      <c r="C241" s="219" t="s">
        <v>86</v>
      </c>
      <c r="G241" s="212"/>
      <c r="K241" s="212"/>
      <c r="O241" s="212"/>
      <c r="S241" s="212"/>
      <c r="X241" s="220"/>
    </row>
    <row r="242" spans="2:24" s="207" customFormat="1">
      <c r="G242" s="212"/>
      <c r="K242" s="212"/>
      <c r="O242" s="212"/>
      <c r="S242" s="212"/>
      <c r="X242" s="220"/>
    </row>
    <row r="243" spans="2:24" s="207" customFormat="1">
      <c r="C243" s="219" t="s">
        <v>78</v>
      </c>
      <c r="G243" s="212"/>
      <c r="K243" s="212"/>
      <c r="O243" s="212"/>
      <c r="S243" s="212"/>
      <c r="X243" s="220"/>
    </row>
    <row r="244" spans="2:24" s="207" customFormat="1">
      <c r="C244" s="219" t="s">
        <v>73</v>
      </c>
      <c r="G244" s="212"/>
      <c r="K244" s="212"/>
      <c r="O244" s="212"/>
      <c r="S244" s="212"/>
      <c r="X244" s="220"/>
    </row>
    <row r="245" spans="2:24" s="207" customFormat="1">
      <c r="G245" s="212"/>
      <c r="K245" s="212"/>
      <c r="O245" s="212"/>
      <c r="S245" s="212"/>
      <c r="X245" s="220"/>
    </row>
    <row r="246" spans="2:24" s="207" customFormat="1">
      <c r="C246" s="219" t="s">
        <v>74</v>
      </c>
      <c r="G246" s="212"/>
      <c r="K246" s="212"/>
      <c r="O246" s="212"/>
      <c r="S246" s="212"/>
      <c r="X246" s="220"/>
    </row>
    <row r="247" spans="2:24" s="207" customFormat="1">
      <c r="G247" s="212"/>
      <c r="K247" s="212"/>
      <c r="O247" s="212"/>
      <c r="S247" s="212"/>
      <c r="X247" s="220"/>
    </row>
    <row r="248" spans="2:24">
      <c r="C248" s="218" t="s">
        <v>84</v>
      </c>
      <c r="E248" s="179" t="s">
        <v>85</v>
      </c>
    </row>
    <row r="253" spans="2:24">
      <c r="B253" s="179" t="s">
        <v>88</v>
      </c>
      <c r="C253" s="179" t="s">
        <v>89</v>
      </c>
    </row>
    <row r="254" spans="2:24">
      <c r="C254" s="179" t="s">
        <v>90</v>
      </c>
    </row>
  </sheetData>
  <dataConsolidate/>
  <mergeCells count="20">
    <mergeCell ref="T173:W173"/>
    <mergeCell ref="D173:G173"/>
    <mergeCell ref="H173:K173"/>
    <mergeCell ref="L173:O173"/>
    <mergeCell ref="P173:S173"/>
    <mergeCell ref="D144:G144"/>
    <mergeCell ref="H144:K144"/>
    <mergeCell ref="L144:O144"/>
    <mergeCell ref="P144:S144"/>
    <mergeCell ref="T144:W144"/>
    <mergeCell ref="C1:F1"/>
    <mergeCell ref="G1:J1"/>
    <mergeCell ref="K1:N1"/>
    <mergeCell ref="O1:R1"/>
    <mergeCell ref="S1:V1"/>
    <mergeCell ref="D201:G201"/>
    <mergeCell ref="H201:K201"/>
    <mergeCell ref="L201:O201"/>
    <mergeCell ref="P201:S201"/>
    <mergeCell ref="T201:W201"/>
  </mergeCells>
  <hyperlinks>
    <hyperlink ref="C246" r:id="rId1" xr:uid="{DD55A88A-20BF-0449-91E0-52B4ECB8A472}"/>
    <hyperlink ref="C244" r:id="rId2" xr:uid="{52D337A2-4B38-7040-93DF-9AAE382387E3}"/>
    <hyperlink ref="C243" r:id="rId3" xr:uid="{716800A8-C779-4E4D-A093-DA9CF7B1FF71}"/>
    <hyperlink ref="C248" r:id="rId4" xr:uid="{5CF72E0A-F822-3243-8E1F-DFCE1605A0B2}"/>
    <hyperlink ref="C241" r:id="rId5" xr:uid="{C65E251C-A6FA-3041-9CB8-D558193C55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1821-BB72-E146-9002-EA93DBC5ED1B}">
  <dimension ref="A1:BR336"/>
  <sheetViews>
    <sheetView showGridLines="0" tabSelected="1" zoomScale="85" workbookViewId="0">
      <pane xSplit="3" ySplit="3" topLeftCell="S183" activePane="bottomRight" state="frozen"/>
      <selection activeCell="D104" sqref="D104:W104"/>
      <selection pane="topRight" activeCell="D104" sqref="D104:W104"/>
      <selection pane="bottomLeft" activeCell="D104" sqref="D104:W104"/>
      <selection pane="bottomRight" activeCell="W186" sqref="W186"/>
    </sheetView>
  </sheetViews>
  <sheetFormatPr baseColWidth="10" defaultRowHeight="16"/>
  <cols>
    <col min="1" max="1" width="11.83203125" style="76" customWidth="1"/>
    <col min="2" max="2" width="40.33203125" style="45" customWidth="1"/>
    <col min="3" max="3" width="17.83203125" style="45" bestFit="1" customWidth="1"/>
    <col min="4" max="5" width="33.1640625" style="45" bestFit="1" customWidth="1"/>
    <col min="6" max="6" width="22" style="45" customWidth="1"/>
    <col min="7" max="7" width="33.1640625" style="47" bestFit="1" customWidth="1"/>
    <col min="8" max="11" width="33.1640625" style="45" bestFit="1" customWidth="1"/>
    <col min="12" max="12" width="22.6640625" style="45" customWidth="1"/>
    <col min="13" max="14" width="33.1640625" style="45" bestFit="1" customWidth="1"/>
    <col min="15" max="15" width="33.1640625" style="47" bestFit="1" customWidth="1"/>
    <col min="16" max="18" width="34.5" style="45" bestFit="1" customWidth="1"/>
    <col min="19" max="19" width="34.5" style="47" bestFit="1" customWidth="1"/>
    <col min="20" max="21" width="34.5" style="45" bestFit="1" customWidth="1"/>
    <col min="22" max="22" width="24.6640625" style="45" customWidth="1"/>
    <col min="23" max="23" width="24.5" style="47" customWidth="1"/>
    <col min="24" max="24" width="3.33203125" style="45" customWidth="1"/>
    <col min="25" max="25" width="16.5" style="45" bestFit="1" customWidth="1"/>
    <col min="26" max="26" width="17.5" style="45" bestFit="1" customWidth="1"/>
    <col min="27" max="27" width="20" style="45" bestFit="1" customWidth="1"/>
    <col min="28" max="45" width="17.5" style="45" bestFit="1" customWidth="1"/>
    <col min="46" max="70" width="11" style="45" bestFit="1" customWidth="1"/>
    <col min="71" max="16384" width="10.83203125" style="45"/>
  </cols>
  <sheetData>
    <row r="1" spans="1:24">
      <c r="A1" s="76" t="s">
        <v>0</v>
      </c>
      <c r="B1" s="45" t="s">
        <v>1</v>
      </c>
      <c r="C1" s="160">
        <v>2019</v>
      </c>
      <c r="D1" s="160"/>
      <c r="E1" s="160"/>
      <c r="F1" s="160"/>
      <c r="G1" s="160">
        <v>2020</v>
      </c>
      <c r="H1" s="160"/>
      <c r="I1" s="160"/>
      <c r="J1" s="160"/>
      <c r="K1" s="160">
        <v>2021</v>
      </c>
      <c r="L1" s="160"/>
      <c r="M1" s="160"/>
      <c r="N1" s="160"/>
      <c r="O1" s="160">
        <v>2022</v>
      </c>
      <c r="P1" s="160"/>
      <c r="Q1" s="160"/>
      <c r="R1" s="160"/>
      <c r="S1" s="160">
        <v>2023</v>
      </c>
      <c r="T1" s="160"/>
      <c r="U1" s="160"/>
      <c r="V1" s="160"/>
    </row>
    <row r="2" spans="1:24">
      <c r="C2" s="48"/>
      <c r="D2" s="48"/>
      <c r="E2" s="46"/>
      <c r="F2" s="46"/>
      <c r="G2" s="49"/>
      <c r="H2" s="46">
        <f>H7</f>
        <v>10119698</v>
      </c>
      <c r="I2" s="46">
        <f>I7-H2</f>
        <v>-2628293</v>
      </c>
      <c r="J2" s="46">
        <f>J7-I2-H2</f>
        <v>-454076</v>
      </c>
      <c r="K2" s="46">
        <f>K7-J2-I2-H2</f>
        <v>-1165492</v>
      </c>
      <c r="L2" s="46">
        <f>L7</f>
        <v>9522327</v>
      </c>
      <c r="M2" s="46">
        <f>M7-L2</f>
        <v>20247802</v>
      </c>
      <c r="N2" s="46">
        <f>N7-M2-L2</f>
        <v>34697090</v>
      </c>
      <c r="O2" s="49">
        <f>O7-N2-M2-L2</f>
        <v>36937435</v>
      </c>
      <c r="P2" s="46">
        <f>P7</f>
        <v>24750340</v>
      </c>
      <c r="Q2" s="46">
        <f>Q7-P2</f>
        <v>79036983</v>
      </c>
      <c r="R2" s="46">
        <f>R7-Q2-P2</f>
        <v>-34757105</v>
      </c>
      <c r="S2" s="49">
        <f>S7-R2-Q2-P2</f>
        <v>-26702080</v>
      </c>
      <c r="T2" s="46">
        <f>T7</f>
        <v>46728630</v>
      </c>
      <c r="U2" s="46">
        <f>U7-T2</f>
        <v>12910284</v>
      </c>
      <c r="V2" s="46">
        <f>V7-U2-T2</f>
        <v>-40419269</v>
      </c>
      <c r="W2" s="49">
        <f>W7-V2-U2-T2</f>
        <v>17462625</v>
      </c>
      <c r="X2" s="46"/>
    </row>
    <row r="3" spans="1:24">
      <c r="B3" s="50"/>
      <c r="C3" s="50"/>
      <c r="D3" s="45" t="s">
        <v>5</v>
      </c>
      <c r="E3" s="45" t="s">
        <v>6</v>
      </c>
      <c r="F3" s="45" t="s">
        <v>7</v>
      </c>
      <c r="G3" s="47" t="s">
        <v>8</v>
      </c>
      <c r="H3" s="45" t="s">
        <v>5</v>
      </c>
      <c r="I3" s="45" t="s">
        <v>6</v>
      </c>
      <c r="J3" s="45" t="s">
        <v>7</v>
      </c>
      <c r="K3" s="45" t="s">
        <v>8</v>
      </c>
      <c r="L3" s="45" t="s">
        <v>5</v>
      </c>
      <c r="M3" s="45" t="s">
        <v>6</v>
      </c>
      <c r="N3" s="45" t="s">
        <v>7</v>
      </c>
      <c r="O3" s="47" t="s">
        <v>8</v>
      </c>
      <c r="P3" s="45" t="s">
        <v>5</v>
      </c>
      <c r="Q3" s="45" t="s">
        <v>6</v>
      </c>
      <c r="R3" s="45" t="s">
        <v>7</v>
      </c>
      <c r="S3" s="47" t="s">
        <v>8</v>
      </c>
      <c r="T3" s="45" t="s">
        <v>5</v>
      </c>
      <c r="U3" s="45" t="s">
        <v>6</v>
      </c>
      <c r="V3" s="45" t="s">
        <v>7</v>
      </c>
      <c r="W3" s="47" t="s">
        <v>8</v>
      </c>
    </row>
    <row r="4" spans="1:24" ht="17">
      <c r="A4" s="76">
        <v>1</v>
      </c>
      <c r="B4" s="51" t="s">
        <v>108</v>
      </c>
      <c r="C4" s="51" t="s">
        <v>111</v>
      </c>
    </row>
    <row r="5" spans="1:24">
      <c r="B5" s="45" t="s">
        <v>58</v>
      </c>
      <c r="D5" s="21">
        <v>77831740</v>
      </c>
      <c r="E5" s="21">
        <v>90824711</v>
      </c>
      <c r="F5" s="21">
        <v>90824711</v>
      </c>
      <c r="G5" s="25">
        <v>77537334</v>
      </c>
      <c r="H5" s="21">
        <v>84674939</v>
      </c>
      <c r="I5" s="21">
        <v>84674939</v>
      </c>
      <c r="J5" s="21">
        <v>84766948</v>
      </c>
      <c r="K5" s="21">
        <v>95968026</v>
      </c>
      <c r="L5" s="21">
        <v>107522110</v>
      </c>
      <c r="M5" s="21">
        <v>127563764</v>
      </c>
      <c r="N5" s="21">
        <v>180723773</v>
      </c>
      <c r="O5" s="25">
        <v>271784042</v>
      </c>
      <c r="P5" s="21">
        <v>240244074</v>
      </c>
      <c r="Q5" s="21">
        <v>240244074</v>
      </c>
      <c r="R5" s="21">
        <v>236335026</v>
      </c>
      <c r="S5" s="25">
        <v>213244699</v>
      </c>
      <c r="T5" s="21">
        <v>274783013</v>
      </c>
      <c r="U5" s="21">
        <v>288557601</v>
      </c>
      <c r="V5" s="21">
        <v>250661906</v>
      </c>
      <c r="W5" s="25">
        <v>211847038</v>
      </c>
      <c r="X5" s="75"/>
    </row>
    <row r="6" spans="1:24">
      <c r="B6" s="45" t="s">
        <v>59</v>
      </c>
      <c r="D6" s="21">
        <v>75810810</v>
      </c>
      <c r="E6" s="21">
        <v>72989873</v>
      </c>
      <c r="F6" s="21">
        <v>72989873</v>
      </c>
      <c r="G6" s="25">
        <v>64264652</v>
      </c>
      <c r="H6" s="21">
        <v>63179149</v>
      </c>
      <c r="I6" s="21">
        <v>63179149</v>
      </c>
      <c r="J6" s="21">
        <v>55028469</v>
      </c>
      <c r="K6" s="21">
        <v>60853847</v>
      </c>
      <c r="L6" s="21">
        <v>59623012</v>
      </c>
      <c r="M6" s="21">
        <v>79626727</v>
      </c>
      <c r="N6" s="21">
        <v>112645186</v>
      </c>
      <c r="O6" s="25">
        <v>169686767</v>
      </c>
      <c r="P6" s="21">
        <v>102601240</v>
      </c>
      <c r="Q6" s="21">
        <v>102601240</v>
      </c>
      <c r="R6" s="21">
        <v>128763187</v>
      </c>
      <c r="S6" s="25">
        <v>171249024</v>
      </c>
      <c r="T6" s="21">
        <v>189898941</v>
      </c>
      <c r="U6" s="21">
        <v>202410416</v>
      </c>
      <c r="V6" s="21">
        <v>212148401</v>
      </c>
      <c r="W6" s="25">
        <v>153588431</v>
      </c>
      <c r="X6" s="75"/>
    </row>
    <row r="7" spans="1:24" ht="17">
      <c r="B7" s="50" t="s">
        <v>57</v>
      </c>
      <c r="C7" s="50"/>
      <c r="D7" s="21">
        <v>1928790</v>
      </c>
      <c r="E7" s="2">
        <v>9296813</v>
      </c>
      <c r="F7" s="2">
        <v>11281096</v>
      </c>
      <c r="G7" s="2">
        <v>7960758</v>
      </c>
      <c r="H7" s="2">
        <v>10119698</v>
      </c>
      <c r="I7" s="2">
        <v>7491405</v>
      </c>
      <c r="J7" s="2">
        <v>7037329</v>
      </c>
      <c r="K7" s="2">
        <v>5871837</v>
      </c>
      <c r="L7" s="2">
        <v>9522327</v>
      </c>
      <c r="M7" s="2">
        <v>29770129</v>
      </c>
      <c r="N7" s="2">
        <v>64467219</v>
      </c>
      <c r="O7" s="2">
        <v>101404654</v>
      </c>
      <c r="P7" s="2">
        <v>24750340</v>
      </c>
      <c r="Q7" s="2">
        <v>103787323</v>
      </c>
      <c r="R7" s="2">
        <v>69030218</v>
      </c>
      <c r="S7" s="2">
        <v>42328138</v>
      </c>
      <c r="T7" s="2">
        <v>46728630</v>
      </c>
      <c r="U7" s="2">
        <v>59638914</v>
      </c>
      <c r="V7" s="2">
        <v>19219645</v>
      </c>
      <c r="W7" s="2">
        <v>36682270</v>
      </c>
      <c r="X7" s="75"/>
    </row>
    <row r="8" spans="1:24">
      <c r="B8" s="45" t="s">
        <v>56</v>
      </c>
      <c r="D8" s="21">
        <v>236830601</v>
      </c>
      <c r="E8" s="21">
        <v>252412944</v>
      </c>
      <c r="F8" s="21">
        <v>252412944</v>
      </c>
      <c r="G8" s="25">
        <v>250680316</v>
      </c>
      <c r="H8" s="21">
        <v>255119714</v>
      </c>
      <c r="I8" s="21">
        <v>255119714</v>
      </c>
      <c r="J8" s="21">
        <v>252446866</v>
      </c>
      <c r="K8" s="21">
        <v>263343768</v>
      </c>
      <c r="L8" s="21">
        <v>274441518</v>
      </c>
      <c r="M8" s="21">
        <v>282876347</v>
      </c>
      <c r="N8" s="21">
        <v>340122460</v>
      </c>
      <c r="O8" s="25">
        <v>435317386</v>
      </c>
      <c r="P8" s="21">
        <v>420163287</v>
      </c>
      <c r="Q8" s="21">
        <v>420163287</v>
      </c>
      <c r="R8" s="21">
        <v>417127531</v>
      </c>
      <c r="S8" s="25">
        <v>404831175</v>
      </c>
      <c r="T8" s="21">
        <v>470215676</v>
      </c>
      <c r="U8" s="21">
        <v>482271154</v>
      </c>
      <c r="V8" s="21">
        <v>450557369</v>
      </c>
      <c r="W8" s="25">
        <v>408454573</v>
      </c>
      <c r="X8" s="75"/>
    </row>
    <row r="9" spans="1:24">
      <c r="B9" s="45" t="s">
        <v>55</v>
      </c>
      <c r="D9" s="21">
        <v>94359473</v>
      </c>
      <c r="E9" s="21">
        <v>89795580</v>
      </c>
      <c r="F9" s="21">
        <v>89795580</v>
      </c>
      <c r="G9" s="25">
        <v>80362658</v>
      </c>
      <c r="H9" s="21">
        <v>77185234</v>
      </c>
      <c r="I9" s="21">
        <v>77185234</v>
      </c>
      <c r="J9" s="21">
        <v>67773972</v>
      </c>
      <c r="K9" s="21">
        <v>72967723</v>
      </c>
      <c r="L9" s="21">
        <v>74394561</v>
      </c>
      <c r="M9" s="21">
        <v>93165104</v>
      </c>
      <c r="N9" s="21">
        <v>125030426</v>
      </c>
      <c r="O9" s="25">
        <v>182704693</v>
      </c>
      <c r="P9" s="21">
        <v>113914716</v>
      </c>
      <c r="Q9" s="21">
        <v>113914716</v>
      </c>
      <c r="R9" s="21">
        <v>141968106</v>
      </c>
      <c r="S9" s="25">
        <v>184353401</v>
      </c>
      <c r="T9" s="21">
        <v>203092837</v>
      </c>
      <c r="U9" s="21">
        <v>215702182</v>
      </c>
      <c r="V9" s="21">
        <v>224659462</v>
      </c>
      <c r="W9" s="25">
        <v>165971113</v>
      </c>
      <c r="X9" s="75"/>
    </row>
    <row r="10" spans="1:24" ht="17">
      <c r="A10" s="76">
        <v>2</v>
      </c>
      <c r="B10" s="50" t="s">
        <v>109</v>
      </c>
      <c r="C10" s="50" t="s">
        <v>110</v>
      </c>
      <c r="D10" s="21"/>
      <c r="E10" s="1"/>
      <c r="F10" s="1"/>
      <c r="G10" s="1"/>
      <c r="H10" s="21"/>
      <c r="I10" s="1"/>
      <c r="J10" s="1"/>
      <c r="K10" s="1"/>
      <c r="L10" s="21"/>
      <c r="M10" s="1"/>
      <c r="N10" s="1"/>
      <c r="O10" s="1"/>
      <c r="P10" s="21"/>
      <c r="Q10" s="1"/>
      <c r="R10" s="1"/>
      <c r="S10" s="1"/>
      <c r="T10" s="21"/>
      <c r="U10" s="1"/>
      <c r="V10" s="1"/>
      <c r="W10" s="1"/>
      <c r="X10" s="79"/>
    </row>
    <row r="11" spans="1:24">
      <c r="B11" s="45" t="s">
        <v>58</v>
      </c>
      <c r="D11" s="1">
        <v>1663091</v>
      </c>
      <c r="E11" s="1">
        <v>1449761</v>
      </c>
      <c r="F11" s="1">
        <v>1716235</v>
      </c>
      <c r="G11" s="26">
        <v>1716235</v>
      </c>
      <c r="H11" s="1">
        <v>1923505</v>
      </c>
      <c r="I11" s="1">
        <v>1683753</v>
      </c>
      <c r="J11" s="1">
        <v>1923288</v>
      </c>
      <c r="K11" s="1">
        <v>2052081</v>
      </c>
      <c r="L11" s="1">
        <v>2208880</v>
      </c>
      <c r="M11" s="1">
        <v>1805622</v>
      </c>
      <c r="N11" s="1">
        <v>1855171</v>
      </c>
      <c r="O11" s="26">
        <v>2244707</v>
      </c>
      <c r="P11" s="1">
        <v>2459753</v>
      </c>
      <c r="Q11" s="1">
        <v>1766710</v>
      </c>
      <c r="R11" s="1">
        <v>2046538</v>
      </c>
      <c r="S11" s="26">
        <v>2194242</v>
      </c>
      <c r="T11" s="1">
        <v>2357403</v>
      </c>
      <c r="U11" s="1">
        <v>1710589</v>
      </c>
      <c r="V11" s="1">
        <v>1897581</v>
      </c>
      <c r="W11" s="26">
        <v>2066770</v>
      </c>
      <c r="X11" s="79"/>
    </row>
    <row r="12" spans="1:24">
      <c r="B12" s="45" t="s">
        <v>59</v>
      </c>
      <c r="D12" s="1">
        <v>331272</v>
      </c>
      <c r="E12" s="1">
        <v>256926</v>
      </c>
      <c r="F12" s="1">
        <v>40887</v>
      </c>
      <c r="G12" s="26">
        <v>40887</v>
      </c>
      <c r="H12" s="1">
        <v>382312</v>
      </c>
      <c r="I12" s="1">
        <v>306112</v>
      </c>
      <c r="J12" s="1">
        <v>326678</v>
      </c>
      <c r="K12" s="1">
        <v>560043</v>
      </c>
      <c r="L12" s="1">
        <v>1005299</v>
      </c>
      <c r="M12" s="1">
        <v>35271</v>
      </c>
      <c r="N12" s="1">
        <v>509593</v>
      </c>
      <c r="O12" s="26">
        <v>54337</v>
      </c>
      <c r="P12" s="1">
        <v>1148370</v>
      </c>
      <c r="Q12" s="1">
        <v>284335</v>
      </c>
      <c r="R12" s="1">
        <v>298065</v>
      </c>
      <c r="S12" s="26">
        <v>541048</v>
      </c>
      <c r="T12" s="1">
        <v>1065986</v>
      </c>
      <c r="U12" s="1">
        <v>258032</v>
      </c>
      <c r="V12" s="1">
        <v>303805</v>
      </c>
      <c r="W12" s="26">
        <v>461979</v>
      </c>
      <c r="X12" s="79"/>
    </row>
    <row r="13" spans="1:24" ht="17">
      <c r="B13" s="50" t="s">
        <v>57</v>
      </c>
      <c r="C13" s="50"/>
      <c r="D13" s="2">
        <v>208868</v>
      </c>
      <c r="E13" s="2">
        <v>165248</v>
      </c>
      <c r="F13" s="2">
        <v>204329</v>
      </c>
      <c r="G13" s="2">
        <v>229244</v>
      </c>
      <c r="H13" s="2">
        <v>231534</v>
      </c>
      <c r="I13" s="2">
        <v>182257</v>
      </c>
      <c r="J13" s="2">
        <v>227014</v>
      </c>
      <c r="K13" s="2">
        <v>293211</v>
      </c>
      <c r="L13" s="2">
        <v>269043</v>
      </c>
      <c r="M13" s="2">
        <v>232958</v>
      </c>
      <c r="N13" s="2">
        <v>363497</v>
      </c>
      <c r="O13" s="2">
        <v>395400</v>
      </c>
      <c r="P13" s="2">
        <v>295039</v>
      </c>
      <c r="Q13" s="2">
        <v>150560</v>
      </c>
      <c r="R13" s="2">
        <v>274848</v>
      </c>
      <c r="S13" s="2">
        <v>384267</v>
      </c>
      <c r="T13" s="2">
        <v>300279</v>
      </c>
      <c r="U13" s="2">
        <v>147828</v>
      </c>
      <c r="V13" s="2">
        <v>138466</v>
      </c>
      <c r="W13" s="2">
        <v>364075</v>
      </c>
      <c r="X13" s="79"/>
    </row>
    <row r="14" spans="1:24">
      <c r="B14" s="45" t="s">
        <v>56</v>
      </c>
      <c r="D14" s="1">
        <v>3487710</v>
      </c>
      <c r="E14" s="1">
        <v>3270931</v>
      </c>
      <c r="F14" s="1">
        <v>3529557</v>
      </c>
      <c r="G14" s="26">
        <v>3529557</v>
      </c>
      <c r="H14" s="1">
        <v>3736043</v>
      </c>
      <c r="I14" s="1">
        <v>3444139</v>
      </c>
      <c r="J14" s="1">
        <v>3699613</v>
      </c>
      <c r="K14" s="1">
        <v>3849516</v>
      </c>
      <c r="L14" s="1">
        <v>4007421</v>
      </c>
      <c r="M14" s="1">
        <v>3591106</v>
      </c>
      <c r="N14" s="1">
        <v>3650853</v>
      </c>
      <c r="O14" s="26">
        <v>4068970</v>
      </c>
      <c r="P14" s="1">
        <v>4289633</v>
      </c>
      <c r="Q14" s="1">
        <v>3577836</v>
      </c>
      <c r="R14" s="1">
        <v>3865151</v>
      </c>
      <c r="S14" s="26">
        <v>4081442</v>
      </c>
      <c r="T14" s="1">
        <v>4219880</v>
      </c>
      <c r="U14" s="1">
        <v>3566545</v>
      </c>
      <c r="V14" s="1">
        <v>3752487</v>
      </c>
      <c r="W14" s="26">
        <v>3890706</v>
      </c>
      <c r="X14" s="79"/>
    </row>
    <row r="15" spans="1:24">
      <c r="B15" s="45" t="s">
        <v>55</v>
      </c>
      <c r="D15" s="1">
        <v>375680</v>
      </c>
      <c r="E15" s="1">
        <v>304215</v>
      </c>
      <c r="F15" s="1">
        <v>46485</v>
      </c>
      <c r="G15" s="26">
        <v>46485</v>
      </c>
      <c r="H15" s="1">
        <v>439708</v>
      </c>
      <c r="I15" s="1">
        <v>366524</v>
      </c>
      <c r="J15" s="1">
        <v>394953</v>
      </c>
      <c r="K15" s="1">
        <v>627776</v>
      </c>
      <c r="L15" s="1">
        <v>1077829</v>
      </c>
      <c r="M15" s="1">
        <v>42792</v>
      </c>
      <c r="N15" s="1">
        <v>587237</v>
      </c>
      <c r="O15" s="26">
        <v>597785</v>
      </c>
      <c r="P15" s="1">
        <v>1199726</v>
      </c>
      <c r="Q15" s="1">
        <v>337185</v>
      </c>
      <c r="R15" s="1">
        <v>340197</v>
      </c>
      <c r="S15" s="26">
        <v>575967</v>
      </c>
      <c r="T15" s="1">
        <v>1102790</v>
      </c>
      <c r="U15" s="1">
        <v>30039</v>
      </c>
      <c r="V15" s="1">
        <v>345461</v>
      </c>
      <c r="W15" s="26">
        <v>504765</v>
      </c>
      <c r="X15" s="79"/>
    </row>
    <row r="16" spans="1:24" ht="17">
      <c r="A16" s="76">
        <v>3</v>
      </c>
      <c r="B16" s="50" t="s">
        <v>112</v>
      </c>
      <c r="C16" s="50" t="s">
        <v>113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79"/>
    </row>
    <row r="17" spans="1:24">
      <c r="B17" s="45" t="s">
        <v>58</v>
      </c>
      <c r="D17" s="21">
        <v>1220959695857</v>
      </c>
      <c r="E17" s="21">
        <v>974803516853</v>
      </c>
      <c r="F17" s="21">
        <v>1181115897965</v>
      </c>
      <c r="G17" s="25">
        <v>1165406301686</v>
      </c>
      <c r="H17" s="21">
        <v>1370744192837</v>
      </c>
      <c r="I17" s="21">
        <v>1193664920046</v>
      </c>
      <c r="J17" s="21">
        <v>1372883946497</v>
      </c>
      <c r="K17" s="21">
        <v>1505872822478</v>
      </c>
      <c r="L17" s="21">
        <v>1794068947949</v>
      </c>
      <c r="M17" s="21">
        <v>1521661024055</v>
      </c>
      <c r="N17" s="21">
        <v>1774586107567</v>
      </c>
      <c r="O17" s="25">
        <v>1979855004312</v>
      </c>
      <c r="P17" s="21">
        <v>2198960543973</v>
      </c>
      <c r="Q17" s="21">
        <v>2152655098371</v>
      </c>
      <c r="R17" s="21">
        <v>2420553411057</v>
      </c>
      <c r="S17" s="25">
        <v>2575390271556</v>
      </c>
      <c r="T17" s="21">
        <v>2816190298275</v>
      </c>
      <c r="U17" s="21">
        <v>2935906113091</v>
      </c>
      <c r="V17" s="21">
        <v>3276826592204</v>
      </c>
      <c r="W17" s="25">
        <v>3495987886882</v>
      </c>
      <c r="X17" s="75"/>
    </row>
    <row r="18" spans="1:24">
      <c r="B18" s="45" t="s">
        <v>59</v>
      </c>
      <c r="D18" s="21">
        <v>724835764207</v>
      </c>
      <c r="E18" s="21">
        <v>380458393414</v>
      </c>
      <c r="F18" s="21">
        <v>415370871391</v>
      </c>
      <c r="G18" s="25">
        <v>408490550651</v>
      </c>
      <c r="H18" s="21">
        <v>454170455806</v>
      </c>
      <c r="I18" s="21">
        <v>350383640773</v>
      </c>
      <c r="J18" s="21">
        <v>444783593880</v>
      </c>
      <c r="K18" s="21">
        <v>626131203549</v>
      </c>
      <c r="L18" s="21">
        <v>753253165807</v>
      </c>
      <c r="M18" s="21">
        <v>360231008241</v>
      </c>
      <c r="N18" s="21">
        <v>441375648639</v>
      </c>
      <c r="O18" s="25">
        <v>475372154415</v>
      </c>
      <c r="P18" s="21">
        <v>533322438635</v>
      </c>
      <c r="Q18" s="21">
        <v>414949038148</v>
      </c>
      <c r="R18" s="21">
        <v>516801189548</v>
      </c>
      <c r="S18" s="25">
        <v>530693880588</v>
      </c>
      <c r="T18" s="21">
        <v>520452445144</v>
      </c>
      <c r="U18" s="21">
        <v>450056525361</v>
      </c>
      <c r="V18" s="21">
        <v>498680386660</v>
      </c>
      <c r="W18" s="25">
        <v>502706566446</v>
      </c>
      <c r="X18" s="75"/>
    </row>
    <row r="19" spans="1:24" ht="17">
      <c r="B19" s="50" t="s">
        <v>57</v>
      </c>
      <c r="C19" s="50"/>
      <c r="D19" s="228">
        <v>135197490648</v>
      </c>
      <c r="E19" s="2">
        <v>113624561476</v>
      </c>
      <c r="F19" s="2">
        <v>128343542117</v>
      </c>
      <c r="G19" s="2">
        <v>105424928599</v>
      </c>
      <c r="H19" s="228">
        <v>175379802775</v>
      </c>
      <c r="I19" s="2">
        <v>102669903291</v>
      </c>
      <c r="J19" s="2">
        <v>201305456986</v>
      </c>
      <c r="K19" s="2">
        <v>149273716497</v>
      </c>
      <c r="L19" s="2">
        <v>154720292528</v>
      </c>
      <c r="M19" s="2">
        <v>108984760765</v>
      </c>
      <c r="N19" s="2">
        <v>169613094827</v>
      </c>
      <c r="O19" s="2">
        <v>184255618743</v>
      </c>
      <c r="P19" s="2">
        <v>164198142403</v>
      </c>
      <c r="Q19" s="2">
        <v>91656306271</v>
      </c>
      <c r="R19" s="2">
        <v>163438041563</v>
      </c>
      <c r="S19" s="2">
        <v>205231515549</v>
      </c>
      <c r="T19" s="2">
        <v>240921845503</v>
      </c>
      <c r="U19" s="2">
        <v>161484010219</v>
      </c>
      <c r="V19" s="2">
        <v>283101028929</v>
      </c>
      <c r="W19" s="2">
        <v>232287138060</v>
      </c>
      <c r="X19" s="75"/>
    </row>
    <row r="20" spans="1:24">
      <c r="B20" s="45" t="s">
        <v>56</v>
      </c>
      <c r="D20" s="21">
        <v>2815940024972</v>
      </c>
      <c r="E20" s="21">
        <v>2587391235954</v>
      </c>
      <c r="F20" s="21">
        <v>2764177498433</v>
      </c>
      <c r="G20" s="25">
        <v>2881563083954</v>
      </c>
      <c r="H20" s="21">
        <v>3103541807577</v>
      </c>
      <c r="I20" s="21">
        <v>3111044741146</v>
      </c>
      <c r="J20" s="21">
        <v>3307682419376</v>
      </c>
      <c r="K20" s="21">
        <v>3448995059882</v>
      </c>
      <c r="L20" s="21">
        <v>3734576264493</v>
      </c>
      <c r="M20" s="21">
        <v>3454527719369</v>
      </c>
      <c r="N20" s="21">
        <v>3709050460941</v>
      </c>
      <c r="O20" s="25">
        <v>3919243683748</v>
      </c>
      <c r="P20" s="21">
        <v>4140548466903</v>
      </c>
      <c r="Q20" s="21">
        <v>4098074917918</v>
      </c>
      <c r="R20" s="21">
        <v>4363311816144</v>
      </c>
      <c r="S20" s="25">
        <v>4590737849889</v>
      </c>
      <c r="T20" s="21">
        <v>4821382501243</v>
      </c>
      <c r="U20" s="21">
        <v>4917732457992</v>
      </c>
      <c r="V20" s="21">
        <v>5249590682947</v>
      </c>
      <c r="W20" s="25">
        <v>5482234635262</v>
      </c>
      <c r="X20" s="75"/>
    </row>
    <row r="21" spans="1:24">
      <c r="B21" s="45" t="s">
        <v>55</v>
      </c>
      <c r="D21" s="21">
        <v>1034570964425</v>
      </c>
      <c r="E21" s="21">
        <v>692397613931</v>
      </c>
      <c r="F21" s="21">
        <v>737343411136</v>
      </c>
      <c r="G21" s="25">
        <v>733556075974</v>
      </c>
      <c r="H21" s="21">
        <v>780154996822</v>
      </c>
      <c r="I21" s="21">
        <v>690477873250</v>
      </c>
      <c r="J21" s="21">
        <v>785227896595</v>
      </c>
      <c r="K21" s="21">
        <v>775696860738</v>
      </c>
      <c r="L21" s="21">
        <v>905068714961</v>
      </c>
      <c r="M21" s="21">
        <v>515447293738</v>
      </c>
      <c r="N21" s="21">
        <v>599218353890</v>
      </c>
      <c r="O21" s="25">
        <v>618395061219</v>
      </c>
      <c r="P21" s="21">
        <v>675501701971</v>
      </c>
      <c r="Q21" s="21">
        <v>557260446304</v>
      </c>
      <c r="R21" s="21">
        <v>659009302967</v>
      </c>
      <c r="S21" s="25">
        <v>662339075974</v>
      </c>
      <c r="T21" s="21">
        <v>652061881825</v>
      </c>
      <c r="U21" s="21">
        <v>581476037552</v>
      </c>
      <c r="V21" s="21">
        <v>630183233578</v>
      </c>
      <c r="W21" s="25">
        <v>634723259687</v>
      </c>
      <c r="X21" s="75"/>
    </row>
    <row r="22" spans="1:24" ht="17">
      <c r="A22" s="76">
        <v>4</v>
      </c>
      <c r="B22" s="50" t="s">
        <v>114</v>
      </c>
      <c r="C22" s="50" t="s">
        <v>115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75"/>
    </row>
    <row r="23" spans="1:24">
      <c r="B23" s="45" t="s">
        <v>58</v>
      </c>
      <c r="D23" s="21">
        <v>359651</v>
      </c>
      <c r="E23" s="21">
        <v>369461</v>
      </c>
      <c r="F23" s="21">
        <v>351120</v>
      </c>
      <c r="G23" s="25">
        <v>351120</v>
      </c>
      <c r="H23" s="21">
        <v>380356</v>
      </c>
      <c r="I23" s="21">
        <v>37133</v>
      </c>
      <c r="J23" s="21">
        <v>468436</v>
      </c>
      <c r="K23" s="21">
        <v>545239</v>
      </c>
      <c r="L23" s="21">
        <v>599995</v>
      </c>
      <c r="M23" s="21">
        <v>590988</v>
      </c>
      <c r="N23" s="21">
        <v>663536</v>
      </c>
      <c r="O23" s="25">
        <v>673394</v>
      </c>
      <c r="P23" s="21">
        <v>755755</v>
      </c>
      <c r="Q23" s="21">
        <v>847444</v>
      </c>
      <c r="R23" s="21">
        <v>920218</v>
      </c>
      <c r="S23" s="25">
        <v>815319</v>
      </c>
      <c r="T23" s="21">
        <v>940378</v>
      </c>
      <c r="U23" s="21">
        <v>1026802</v>
      </c>
      <c r="V23" s="21">
        <v>1118372</v>
      </c>
      <c r="W23" s="25">
        <v>1230110</v>
      </c>
      <c r="X23" s="75"/>
    </row>
    <row r="24" spans="1:24">
      <c r="B24" s="45" t="s">
        <v>59</v>
      </c>
      <c r="D24" s="21">
        <v>250824</v>
      </c>
      <c r="E24" s="21">
        <v>254410</v>
      </c>
      <c r="F24" s="21">
        <v>175191</v>
      </c>
      <c r="G24" s="25">
        <v>175191</v>
      </c>
      <c r="H24" s="21">
        <v>18605</v>
      </c>
      <c r="I24" s="21">
        <v>137037</v>
      </c>
      <c r="J24" s="21">
        <v>172808</v>
      </c>
      <c r="K24" s="21">
        <v>183559</v>
      </c>
      <c r="L24" s="21">
        <v>192128</v>
      </c>
      <c r="M24" s="21">
        <v>196493</v>
      </c>
      <c r="N24" s="21">
        <v>227904</v>
      </c>
      <c r="O24" s="25">
        <v>268367</v>
      </c>
      <c r="P24" s="21">
        <v>269326</v>
      </c>
      <c r="Q24" s="21">
        <v>277628</v>
      </c>
      <c r="R24" s="21">
        <v>268895</v>
      </c>
      <c r="S24" s="25">
        <v>254719</v>
      </c>
      <c r="T24" s="21">
        <v>288167</v>
      </c>
      <c r="U24" s="21">
        <v>270296</v>
      </c>
      <c r="V24" s="21">
        <v>257488</v>
      </c>
      <c r="W24" s="25">
        <v>298814</v>
      </c>
      <c r="X24" s="75"/>
    </row>
    <row r="25" spans="1:24" ht="17">
      <c r="B25" s="50" t="s">
        <v>57</v>
      </c>
      <c r="C25" s="50"/>
      <c r="D25" s="2">
        <v>17410</v>
      </c>
      <c r="E25" s="2">
        <v>13196</v>
      </c>
      <c r="F25" s="2">
        <v>16327</v>
      </c>
      <c r="G25" s="2">
        <v>36952</v>
      </c>
      <c r="H25" s="2">
        <v>21212</v>
      </c>
      <c r="I25" s="2">
        <v>18710</v>
      </c>
      <c r="J25" s="2">
        <v>34462</v>
      </c>
      <c r="K25" s="2">
        <v>61405</v>
      </c>
      <c r="L25" s="2">
        <v>47471</v>
      </c>
      <c r="M25" s="2">
        <v>42420</v>
      </c>
      <c r="N25" s="2">
        <v>52962</v>
      </c>
      <c r="O25" s="2">
        <v>122905</v>
      </c>
      <c r="P25" s="2">
        <v>75595</v>
      </c>
      <c r="Q25" s="2">
        <v>81342</v>
      </c>
      <c r="R25" s="2">
        <v>83728</v>
      </c>
      <c r="S25" s="2">
        <v>124307</v>
      </c>
      <c r="T25" s="2">
        <v>89433</v>
      </c>
      <c r="U25" s="21">
        <v>95942</v>
      </c>
      <c r="V25" s="2">
        <v>106504</v>
      </c>
      <c r="W25" s="2">
        <v>103919</v>
      </c>
      <c r="X25" s="75"/>
    </row>
    <row r="26" spans="1:24">
      <c r="B26" s="45" t="s">
        <v>56</v>
      </c>
      <c r="D26" s="21">
        <v>865873</v>
      </c>
      <c r="E26" s="21">
        <v>866464</v>
      </c>
      <c r="F26" s="21">
        <v>822375</v>
      </c>
      <c r="G26" s="25">
        <v>822375</v>
      </c>
      <c r="H26" s="21">
        <v>845976</v>
      </c>
      <c r="I26" s="21">
        <v>818093</v>
      </c>
      <c r="J26" s="21">
        <v>890363</v>
      </c>
      <c r="K26" s="21">
        <v>958791</v>
      </c>
      <c r="L26" s="21">
        <v>1017017</v>
      </c>
      <c r="M26" s="21">
        <v>1064648</v>
      </c>
      <c r="N26" s="21">
        <v>1149089</v>
      </c>
      <c r="O26" s="25">
        <v>1304108</v>
      </c>
      <c r="P26" s="21">
        <v>1380815</v>
      </c>
      <c r="Q26" s="21">
        <v>1470192</v>
      </c>
      <c r="R26" s="21">
        <v>1542280</v>
      </c>
      <c r="S26" s="25">
        <v>1645582</v>
      </c>
      <c r="T26" s="21">
        <v>1768419</v>
      </c>
      <c r="U26" s="21">
        <v>1847245</v>
      </c>
      <c r="V26" s="21">
        <v>1940594</v>
      </c>
      <c r="W26" s="25">
        <v>2085182</v>
      </c>
      <c r="X26" s="75"/>
    </row>
    <row r="27" spans="1:24">
      <c r="B27" s="45" t="s">
        <v>55</v>
      </c>
      <c r="D27" s="21">
        <v>366549</v>
      </c>
      <c r="E27" s="21">
        <v>353944</v>
      </c>
      <c r="F27" s="21">
        <v>254438</v>
      </c>
      <c r="G27" s="25">
        <v>254438</v>
      </c>
      <c r="H27" s="21">
        <v>256827</v>
      </c>
      <c r="I27" s="21">
        <v>210234</v>
      </c>
      <c r="J27" s="21">
        <v>248042</v>
      </c>
      <c r="K27" s="21">
        <v>258283</v>
      </c>
      <c r="L27" s="21">
        <v>269038</v>
      </c>
      <c r="M27" s="21">
        <v>274249</v>
      </c>
      <c r="N27" s="21">
        <v>305728</v>
      </c>
      <c r="O27" s="25">
        <v>334291</v>
      </c>
      <c r="P27" s="21">
        <v>335403</v>
      </c>
      <c r="Q27" s="21">
        <v>343438</v>
      </c>
      <c r="R27" s="21">
        <v>331798</v>
      </c>
      <c r="S27" s="25">
        <v>310746</v>
      </c>
      <c r="T27" s="21">
        <v>34415</v>
      </c>
      <c r="U27" s="21">
        <v>327034</v>
      </c>
      <c r="V27" s="21">
        <v>313879</v>
      </c>
      <c r="W27" s="25">
        <v>355374</v>
      </c>
      <c r="X27" s="75"/>
    </row>
    <row r="28" spans="1:24" ht="17">
      <c r="A28" s="76">
        <v>5</v>
      </c>
      <c r="B28" s="50" t="s">
        <v>116</v>
      </c>
      <c r="C28" s="50" t="s">
        <v>136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75"/>
    </row>
    <row r="29" spans="1:24">
      <c r="B29" s="45" t="s">
        <v>58</v>
      </c>
      <c r="D29" s="21">
        <v>2011575</v>
      </c>
      <c r="E29" s="21">
        <v>1996956</v>
      </c>
      <c r="F29" s="21">
        <v>1996956</v>
      </c>
      <c r="G29" s="25">
        <v>2138324</v>
      </c>
      <c r="H29" s="21">
        <v>2380660</v>
      </c>
      <c r="I29" s="21">
        <v>2288151</v>
      </c>
      <c r="J29" s="21">
        <v>2165305</v>
      </c>
      <c r="K29" s="21">
        <v>2294976</v>
      </c>
      <c r="L29" s="21">
        <v>2680751</v>
      </c>
      <c r="M29" s="21">
        <v>2851228</v>
      </c>
      <c r="N29" s="21">
        <v>2752631</v>
      </c>
      <c r="O29" s="25">
        <v>2795010</v>
      </c>
      <c r="P29" s="21">
        <v>2997663</v>
      </c>
      <c r="Q29" s="21">
        <v>3097663</v>
      </c>
      <c r="R29" s="21">
        <v>3190720</v>
      </c>
      <c r="S29" s="25">
        <v>3122353</v>
      </c>
      <c r="T29" s="21">
        <v>3307687</v>
      </c>
      <c r="U29" s="21">
        <v>3110000</v>
      </c>
      <c r="V29" s="21">
        <v>3268262</v>
      </c>
      <c r="W29" s="25">
        <v>3309168</v>
      </c>
      <c r="X29" s="75"/>
    </row>
    <row r="30" spans="1:24">
      <c r="B30" s="45" t="s">
        <v>59</v>
      </c>
      <c r="D30" s="21">
        <v>497176</v>
      </c>
      <c r="E30" s="21">
        <v>416290</v>
      </c>
      <c r="F30" s="21">
        <v>416290</v>
      </c>
      <c r="G30" s="25">
        <v>461192</v>
      </c>
      <c r="H30" s="21">
        <v>596998</v>
      </c>
      <c r="I30" s="21">
        <v>422395</v>
      </c>
      <c r="J30" s="21">
        <v>345236</v>
      </c>
      <c r="K30" s="21">
        <v>398392</v>
      </c>
      <c r="L30" s="21">
        <v>605702</v>
      </c>
      <c r="M30" s="21">
        <v>804299</v>
      </c>
      <c r="N30" s="21">
        <v>658394</v>
      </c>
      <c r="O30" s="25">
        <v>669419</v>
      </c>
      <c r="P30" s="21">
        <v>685945</v>
      </c>
      <c r="Q30" s="21">
        <v>704410</v>
      </c>
      <c r="R30" s="21">
        <v>821895</v>
      </c>
      <c r="S30" s="25">
        <v>704787</v>
      </c>
      <c r="T30" s="21">
        <v>677066</v>
      </c>
      <c r="U30" s="21">
        <v>596940</v>
      </c>
      <c r="V30" s="21">
        <v>637989</v>
      </c>
      <c r="W30" s="25">
        <v>639563</v>
      </c>
      <c r="X30" s="75"/>
    </row>
    <row r="31" spans="1:24" ht="17">
      <c r="B31" s="50" t="s">
        <v>57</v>
      </c>
      <c r="C31" s="50"/>
      <c r="D31" s="2">
        <v>137033</v>
      </c>
      <c r="E31" s="2">
        <v>120513</v>
      </c>
      <c r="F31" s="2">
        <v>192531</v>
      </c>
      <c r="G31" s="2">
        <v>188599</v>
      </c>
      <c r="H31" s="2">
        <v>132766</v>
      </c>
      <c r="I31" s="2">
        <v>91967</v>
      </c>
      <c r="J31" s="2">
        <v>-185765</v>
      </c>
      <c r="K31" s="2">
        <v>500148</v>
      </c>
      <c r="L31" s="2">
        <v>18009</v>
      </c>
      <c r="M31" s="2">
        <v>331446</v>
      </c>
      <c r="N31" s="2">
        <v>191333</v>
      </c>
      <c r="O31" s="2">
        <v>187475</v>
      </c>
      <c r="P31" s="2">
        <v>209917</v>
      </c>
      <c r="Q31" s="2">
        <v>210299</v>
      </c>
      <c r="R31" s="2">
        <v>284901</v>
      </c>
      <c r="S31" s="2">
        <v>230827</v>
      </c>
      <c r="T31" s="2">
        <v>245022</v>
      </c>
      <c r="U31" s="2">
        <v>232022</v>
      </c>
      <c r="V31" s="2">
        <v>288547</v>
      </c>
      <c r="W31" s="2">
        <v>270943</v>
      </c>
      <c r="X31" s="75"/>
    </row>
    <row r="32" spans="1:24">
      <c r="B32" s="45" t="s">
        <v>56</v>
      </c>
      <c r="D32" s="21">
        <v>2972855</v>
      </c>
      <c r="E32" s="21">
        <v>2978299</v>
      </c>
      <c r="F32" s="21">
        <v>2978299</v>
      </c>
      <c r="G32" s="25">
        <v>3106981</v>
      </c>
      <c r="H32" s="21">
        <v>3499849</v>
      </c>
      <c r="I32" s="21">
        <v>3366507</v>
      </c>
      <c r="J32" s="21">
        <v>3238316</v>
      </c>
      <c r="K32" s="21">
        <v>3375526</v>
      </c>
      <c r="L32" s="21">
        <v>3760247</v>
      </c>
      <c r="M32" s="21">
        <v>3972001</v>
      </c>
      <c r="N32" s="21">
        <v>3856932</v>
      </c>
      <c r="O32" s="25">
        <v>3868862</v>
      </c>
      <c r="P32" s="21">
        <v>4099483</v>
      </c>
      <c r="Q32" s="21">
        <v>4218089</v>
      </c>
      <c r="R32" s="21">
        <v>4384631</v>
      </c>
      <c r="S32" s="25">
        <v>4379577</v>
      </c>
      <c r="T32" s="21">
        <v>4574015</v>
      </c>
      <c r="U32" s="21">
        <v>4356141</v>
      </c>
      <c r="V32" s="21">
        <v>4524710</v>
      </c>
      <c r="W32" s="25">
        <v>4574793</v>
      </c>
      <c r="X32" s="75"/>
    </row>
    <row r="33" spans="1:24">
      <c r="B33" s="45" t="s">
        <v>55</v>
      </c>
      <c r="D33" s="21">
        <v>683561</v>
      </c>
      <c r="E33" s="21">
        <v>618059</v>
      </c>
      <c r="F33" s="21">
        <v>618059</v>
      </c>
      <c r="G33" s="25">
        <v>664678</v>
      </c>
      <c r="H33" s="21">
        <v>897718</v>
      </c>
      <c r="I33" s="21">
        <v>717128</v>
      </c>
      <c r="J33" s="21">
        <v>642053</v>
      </c>
      <c r="K33" s="21">
        <v>727016</v>
      </c>
      <c r="L33" s="21">
        <v>921258</v>
      </c>
      <c r="M33" s="21">
        <v>1157420</v>
      </c>
      <c r="N33" s="21">
        <v>988489</v>
      </c>
      <c r="O33" s="25">
        <v>957229</v>
      </c>
      <c r="P33" s="21">
        <v>979043</v>
      </c>
      <c r="Q33" s="21">
        <v>1001360</v>
      </c>
      <c r="R33" s="21">
        <v>1174811</v>
      </c>
      <c r="S33" s="25">
        <v>1060545</v>
      </c>
      <c r="T33" s="21">
        <v>1027494</v>
      </c>
      <c r="U33" s="21">
        <v>93609</v>
      </c>
      <c r="V33" s="21">
        <v>972272</v>
      </c>
      <c r="W33" s="25">
        <v>94476</v>
      </c>
      <c r="X33" s="75"/>
    </row>
    <row r="34" spans="1:24" ht="17">
      <c r="A34" s="76">
        <v>6</v>
      </c>
      <c r="B34" s="50" t="s">
        <v>117</v>
      </c>
      <c r="C34" s="50" t="s">
        <v>118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75"/>
    </row>
    <row r="35" spans="1:24">
      <c r="B35" s="45" t="s">
        <v>58</v>
      </c>
      <c r="D35" s="21">
        <v>8842325</v>
      </c>
      <c r="E35" s="21">
        <v>8254148</v>
      </c>
      <c r="F35" s="21">
        <v>8254148</v>
      </c>
      <c r="G35" s="25">
        <v>7665239</v>
      </c>
      <c r="H35" s="21">
        <v>7408321</v>
      </c>
      <c r="I35" s="21">
        <v>7127012</v>
      </c>
      <c r="J35" s="21">
        <v>8530993</v>
      </c>
      <c r="K35" s="21">
        <v>9150514</v>
      </c>
      <c r="L35" s="21">
        <v>10077495</v>
      </c>
      <c r="M35" s="21">
        <v>9909264</v>
      </c>
      <c r="N35" s="21">
        <v>11090152</v>
      </c>
      <c r="O35" s="25">
        <v>11728143</v>
      </c>
      <c r="P35" s="21">
        <v>10954380</v>
      </c>
      <c r="Q35" s="21">
        <v>10954380</v>
      </c>
      <c r="R35" s="21">
        <v>12135833</v>
      </c>
      <c r="S35" s="25">
        <v>11694779</v>
      </c>
      <c r="T35" s="21">
        <v>12582223</v>
      </c>
      <c r="U35" s="21">
        <v>14311751</v>
      </c>
      <c r="V35" s="21">
        <v>13232368</v>
      </c>
      <c r="W35" s="25">
        <v>20064546</v>
      </c>
      <c r="X35" s="75"/>
    </row>
    <row r="36" spans="1:24">
      <c r="B36" s="45" t="s">
        <v>59</v>
      </c>
      <c r="D36" s="21">
        <v>5854512</v>
      </c>
      <c r="E36" s="21">
        <v>5679837</v>
      </c>
      <c r="F36" s="21">
        <v>5679837</v>
      </c>
      <c r="G36" s="25">
        <v>5293238</v>
      </c>
      <c r="H36" s="21">
        <v>5618539</v>
      </c>
      <c r="I36" s="21">
        <v>4450523</v>
      </c>
      <c r="J36" s="21">
        <v>4392821</v>
      </c>
      <c r="K36" s="21">
        <v>7553261</v>
      </c>
      <c r="L36" s="21">
        <v>8133046</v>
      </c>
      <c r="M36" s="21">
        <v>7857693</v>
      </c>
      <c r="N36" s="21">
        <v>8870426</v>
      </c>
      <c r="O36" s="25">
        <v>6562383</v>
      </c>
      <c r="P36" s="21">
        <v>6659135</v>
      </c>
      <c r="Q36" s="21">
        <v>6659135</v>
      </c>
      <c r="R36" s="21">
        <v>7223640</v>
      </c>
      <c r="S36" s="25">
        <v>5971662</v>
      </c>
      <c r="T36" s="21">
        <v>6063757</v>
      </c>
      <c r="U36" s="21">
        <v>9272178</v>
      </c>
      <c r="V36" s="21">
        <v>7734689</v>
      </c>
      <c r="W36" s="25">
        <v>8576440</v>
      </c>
      <c r="X36" s="75"/>
    </row>
    <row r="37" spans="1:24" ht="17">
      <c r="B37" s="50" t="s">
        <v>57</v>
      </c>
      <c r="C37" s="50"/>
      <c r="D37" s="2">
        <v>176103741</v>
      </c>
      <c r="E37" s="2">
        <v>251896633</v>
      </c>
      <c r="F37" s="2">
        <v>213506045</v>
      </c>
      <c r="G37" s="2">
        <v>-447654388</v>
      </c>
      <c r="H37" s="2">
        <v>-281839032</v>
      </c>
      <c r="I37" s="2">
        <v>366659791</v>
      </c>
      <c r="J37" s="2">
        <v>750951615</v>
      </c>
      <c r="K37" s="2">
        <v>313581319</v>
      </c>
      <c r="L37" s="2">
        <v>630378891</v>
      </c>
      <c r="M37" s="2">
        <v>-629218469</v>
      </c>
      <c r="N37" s="2">
        <v>550038</v>
      </c>
      <c r="O37" s="2">
        <v>151280</v>
      </c>
      <c r="P37" s="2">
        <v>1465382</v>
      </c>
      <c r="Q37" s="2">
        <v>60513</v>
      </c>
      <c r="R37" s="2">
        <v>1100921</v>
      </c>
      <c r="S37" s="2">
        <v>1194148</v>
      </c>
      <c r="T37" s="2">
        <v>1663121</v>
      </c>
      <c r="U37" s="2">
        <v>226636</v>
      </c>
      <c r="V37" s="2">
        <v>958833</v>
      </c>
      <c r="W37" s="2">
        <v>229058</v>
      </c>
      <c r="X37" s="75"/>
    </row>
    <row r="38" spans="1:24">
      <c r="B38" s="45" t="s">
        <v>56</v>
      </c>
      <c r="D38" s="21">
        <v>33598993</v>
      </c>
      <c r="E38" s="21">
        <v>8254148</v>
      </c>
      <c r="F38" s="21">
        <v>32654878</v>
      </c>
      <c r="G38" s="25">
        <v>30194907</v>
      </c>
      <c r="H38" s="21">
        <v>30771074</v>
      </c>
      <c r="I38" s="21">
        <v>30033248</v>
      </c>
      <c r="J38" s="21">
        <v>30974035</v>
      </c>
      <c r="K38" s="21">
        <v>31729512</v>
      </c>
      <c r="L38" s="21">
        <v>32690824</v>
      </c>
      <c r="M38" s="21">
        <v>32290182</v>
      </c>
      <c r="N38" s="21">
        <v>33300839</v>
      </c>
      <c r="O38" s="25">
        <v>32916154</v>
      </c>
      <c r="P38" s="21">
        <v>32256476</v>
      </c>
      <c r="Q38" s="21">
        <v>32256476</v>
      </c>
      <c r="R38" s="21">
        <v>33790466</v>
      </c>
      <c r="S38" s="25">
        <v>33637271</v>
      </c>
      <c r="T38" s="21">
        <v>34933681</v>
      </c>
      <c r="U38" s="21">
        <v>36368666</v>
      </c>
      <c r="V38" s="21">
        <v>35500169</v>
      </c>
      <c r="W38" s="25">
        <v>42851329</v>
      </c>
      <c r="X38" s="75"/>
    </row>
    <row r="39" spans="1:24">
      <c r="B39" s="45" t="s">
        <v>55</v>
      </c>
      <c r="D39" s="21">
        <v>13689071</v>
      </c>
      <c r="E39" s="21">
        <v>5679837</v>
      </c>
      <c r="F39" s="21">
        <v>12707270</v>
      </c>
      <c r="G39" s="25">
        <v>12061488</v>
      </c>
      <c r="H39" s="21">
        <v>12746025</v>
      </c>
      <c r="I39" s="21">
        <v>11929598</v>
      </c>
      <c r="J39" s="21">
        <v>12044879</v>
      </c>
      <c r="K39" s="21">
        <v>12690063</v>
      </c>
      <c r="L39" s="21">
        <v>12891143</v>
      </c>
      <c r="M39" s="21">
        <v>12454835</v>
      </c>
      <c r="N39" s="21">
        <v>12956958</v>
      </c>
      <c r="O39" s="25">
        <v>12079056</v>
      </c>
      <c r="P39" s="21">
        <v>10784540</v>
      </c>
      <c r="Q39" s="21">
        <v>10784540</v>
      </c>
      <c r="R39" s="21">
        <v>11223189</v>
      </c>
      <c r="S39" s="25">
        <v>9925211</v>
      </c>
      <c r="T39" s="21">
        <v>9601587</v>
      </c>
      <c r="U39" s="21">
        <v>12692580</v>
      </c>
      <c r="V39" s="21">
        <v>10883398</v>
      </c>
      <c r="W39" s="25">
        <v>11685659</v>
      </c>
      <c r="X39" s="75"/>
    </row>
    <row r="40" spans="1:24" ht="17">
      <c r="A40" s="76">
        <v>7</v>
      </c>
      <c r="B40" s="50" t="s">
        <v>119</v>
      </c>
      <c r="C40" s="50" t="s">
        <v>120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75"/>
    </row>
    <row r="41" spans="1:24">
      <c r="B41" s="45" t="s">
        <v>58</v>
      </c>
      <c r="D41" s="21">
        <v>796009</v>
      </c>
      <c r="E41" s="21">
        <v>796009</v>
      </c>
      <c r="F41" s="21">
        <v>591812</v>
      </c>
      <c r="G41" s="25">
        <v>591812</v>
      </c>
      <c r="H41" s="21">
        <v>500941</v>
      </c>
      <c r="I41" s="21">
        <v>427787</v>
      </c>
      <c r="J41" s="21">
        <v>410679</v>
      </c>
      <c r="K41" s="21">
        <v>419933</v>
      </c>
      <c r="L41" s="21">
        <v>482093</v>
      </c>
      <c r="M41" s="21">
        <v>620584</v>
      </c>
      <c r="N41" s="21">
        <v>81188</v>
      </c>
      <c r="O41" s="25">
        <v>988024</v>
      </c>
      <c r="P41" s="21">
        <v>1267967</v>
      </c>
      <c r="Q41" s="21">
        <v>1267967</v>
      </c>
      <c r="R41" s="21">
        <v>1774613</v>
      </c>
      <c r="S41" s="25">
        <v>1908545</v>
      </c>
      <c r="T41" s="21">
        <v>1996532</v>
      </c>
      <c r="U41" s="21">
        <v>1421672</v>
      </c>
      <c r="V41" s="21">
        <v>1296390</v>
      </c>
      <c r="W41" s="25">
        <v>1279872</v>
      </c>
      <c r="X41" s="75"/>
    </row>
    <row r="42" spans="1:24">
      <c r="B42" s="45" t="s">
        <v>59</v>
      </c>
      <c r="D42" s="21">
        <v>529589</v>
      </c>
      <c r="E42" s="21">
        <v>529589</v>
      </c>
      <c r="F42" s="21">
        <v>308259</v>
      </c>
      <c r="G42" s="25">
        <v>308259</v>
      </c>
      <c r="H42" s="21">
        <v>276785</v>
      </c>
      <c r="I42" s="21">
        <v>267172</v>
      </c>
      <c r="J42" s="21">
        <v>220019</v>
      </c>
      <c r="K42" s="21">
        <v>207300</v>
      </c>
      <c r="L42" s="21">
        <v>216083</v>
      </c>
      <c r="M42" s="21">
        <v>313204</v>
      </c>
      <c r="N42" s="21">
        <v>36916</v>
      </c>
      <c r="O42" s="25">
        <v>364743</v>
      </c>
      <c r="P42" s="21">
        <v>396164</v>
      </c>
      <c r="Q42" s="21">
        <v>396164</v>
      </c>
      <c r="R42" s="21">
        <v>452794</v>
      </c>
      <c r="S42" s="25">
        <v>585613</v>
      </c>
      <c r="T42" s="21">
        <v>1004362</v>
      </c>
      <c r="U42" s="21">
        <v>324674</v>
      </c>
      <c r="V42" s="21">
        <v>350272</v>
      </c>
      <c r="W42" s="25">
        <v>294254</v>
      </c>
      <c r="X42" s="75"/>
    </row>
    <row r="43" spans="1:24" ht="17">
      <c r="B43" s="50" t="s">
        <v>57</v>
      </c>
      <c r="C43" s="50"/>
      <c r="D43" s="21">
        <v>453025</v>
      </c>
      <c r="E43" s="21">
        <v>439676</v>
      </c>
      <c r="F43" s="21">
        <v>412079</v>
      </c>
      <c r="G43" s="25">
        <v>410812</v>
      </c>
      <c r="H43" s="21">
        <v>365903</v>
      </c>
      <c r="I43" s="21">
        <v>286725</v>
      </c>
      <c r="J43" s="21">
        <v>219256</v>
      </c>
      <c r="K43" s="21">
        <v>313452</v>
      </c>
      <c r="L43" s="21">
        <v>28424</v>
      </c>
      <c r="M43" s="21">
        <v>647879</v>
      </c>
      <c r="N43" s="21">
        <v>647042</v>
      </c>
      <c r="O43" s="25">
        <v>753468</v>
      </c>
      <c r="P43" s="21">
        <v>639933</v>
      </c>
      <c r="Q43" s="21">
        <v>781608</v>
      </c>
      <c r="R43" s="21">
        <v>1194897</v>
      </c>
      <c r="S43" s="25">
        <v>1019775</v>
      </c>
      <c r="T43" s="21">
        <v>685586</v>
      </c>
      <c r="U43" s="21">
        <v>613603</v>
      </c>
      <c r="V43" s="21">
        <v>527473</v>
      </c>
      <c r="W43" s="25">
        <v>547653</v>
      </c>
      <c r="X43" s="75"/>
    </row>
    <row r="44" spans="1:24">
      <c r="B44" s="45" t="s">
        <v>56</v>
      </c>
      <c r="D44" s="21">
        <v>1469510</v>
      </c>
      <c r="E44" s="21">
        <v>1469510</v>
      </c>
      <c r="F44" s="21">
        <v>1308377</v>
      </c>
      <c r="G44" s="25">
        <v>1308377</v>
      </c>
      <c r="H44" s="21">
        <v>1239166</v>
      </c>
      <c r="I44" s="21">
        <v>1228667</v>
      </c>
      <c r="J44" s="21">
        <v>1179797</v>
      </c>
      <c r="K44" s="21">
        <v>1158629</v>
      </c>
      <c r="L44" s="21">
        <v>1201451</v>
      </c>
      <c r="M44" s="21">
        <v>1314571</v>
      </c>
      <c r="N44" s="21">
        <v>1509520</v>
      </c>
      <c r="O44" s="25">
        <v>1666239</v>
      </c>
      <c r="P44" s="21">
        <v>1973760</v>
      </c>
      <c r="Q44" s="21">
        <v>1973760</v>
      </c>
      <c r="R44" s="21">
        <v>2494255</v>
      </c>
      <c r="S44" s="25">
        <v>2640177</v>
      </c>
      <c r="T44" s="21">
        <v>2776546</v>
      </c>
      <c r="U44" s="21">
        <v>2227069</v>
      </c>
      <c r="V44" s="21">
        <v>2148813</v>
      </c>
      <c r="W44" s="25">
        <v>2187847</v>
      </c>
      <c r="X44" s="75"/>
    </row>
    <row r="45" spans="1:24">
      <c r="B45" s="45" t="s">
        <v>55</v>
      </c>
      <c r="D45" s="21">
        <v>616582</v>
      </c>
      <c r="E45" s="21">
        <v>616582</v>
      </c>
      <c r="F45" s="21">
        <v>397043</v>
      </c>
      <c r="G45" s="25">
        <v>397043</v>
      </c>
      <c r="H45" s="21">
        <v>374098</v>
      </c>
      <c r="I45" s="21">
        <v>366847</v>
      </c>
      <c r="J45" s="21">
        <v>316348</v>
      </c>
      <c r="K45" s="21">
        <v>312339</v>
      </c>
      <c r="L45" s="21">
        <v>317821</v>
      </c>
      <c r="M45" s="21">
        <v>408168</v>
      </c>
      <c r="N45" s="21">
        <v>471629</v>
      </c>
      <c r="O45" s="25">
        <v>46468</v>
      </c>
      <c r="P45" s="21">
        <v>491837</v>
      </c>
      <c r="Q45" s="21">
        <v>491837</v>
      </c>
      <c r="R45" s="21">
        <v>552388</v>
      </c>
      <c r="S45" s="25">
        <v>689897</v>
      </c>
      <c r="T45" s="21">
        <v>1109952</v>
      </c>
      <c r="U45" s="21">
        <v>430921</v>
      </c>
      <c r="V45" s="21">
        <v>458739</v>
      </c>
      <c r="W45" s="25">
        <v>399307</v>
      </c>
      <c r="X45" s="75"/>
    </row>
    <row r="46" spans="1:24" ht="17">
      <c r="A46" s="76">
        <v>8</v>
      </c>
      <c r="B46" s="50" t="s">
        <v>121</v>
      </c>
      <c r="C46" s="50" t="s">
        <v>122</v>
      </c>
      <c r="D46" s="21"/>
      <c r="E46" s="21"/>
      <c r="F46" s="21"/>
      <c r="G46" s="25"/>
      <c r="H46" s="21"/>
      <c r="I46" s="21"/>
      <c r="J46" s="21"/>
      <c r="K46" s="21"/>
      <c r="L46" s="21"/>
      <c r="M46" s="21"/>
      <c r="N46" s="21"/>
      <c r="O46" s="25"/>
      <c r="P46" s="21"/>
      <c r="Q46" s="21"/>
      <c r="R46" s="21"/>
      <c r="S46" s="25"/>
      <c r="T46" s="21"/>
      <c r="U46" s="21"/>
      <c r="V46" s="21"/>
      <c r="W46" s="25"/>
      <c r="X46" s="75"/>
    </row>
    <row r="47" spans="1:24">
      <c r="B47" s="45" t="s">
        <v>58</v>
      </c>
      <c r="D47" s="21">
        <v>12051027</v>
      </c>
      <c r="E47" s="21">
        <v>11749298</v>
      </c>
      <c r="F47" s="21">
        <v>11749298</v>
      </c>
      <c r="G47" s="25">
        <v>11679884</v>
      </c>
      <c r="H47" s="21">
        <v>12030152</v>
      </c>
      <c r="I47" s="21">
        <v>11596133</v>
      </c>
      <c r="J47" s="21">
        <v>9360763</v>
      </c>
      <c r="K47" s="21">
        <v>8364356</v>
      </c>
      <c r="L47" s="21">
        <v>8151865</v>
      </c>
      <c r="M47" s="21">
        <v>10202025</v>
      </c>
      <c r="N47" s="21">
        <v>14883833</v>
      </c>
      <c r="O47" s="25">
        <v>18211500</v>
      </c>
      <c r="P47" s="21">
        <v>20946518</v>
      </c>
      <c r="Q47" s="21">
        <v>16498602</v>
      </c>
      <c r="R47" s="21">
        <v>21885629</v>
      </c>
      <c r="S47" s="25">
        <v>24432148</v>
      </c>
      <c r="T47" s="21">
        <v>24316471</v>
      </c>
      <c r="U47" s="21">
        <v>24433885</v>
      </c>
      <c r="V47" s="21">
        <v>14057656</v>
      </c>
      <c r="W47" s="25">
        <v>15148356</v>
      </c>
      <c r="X47" s="75"/>
    </row>
    <row r="48" spans="1:24">
      <c r="B48" s="45" t="s">
        <v>59</v>
      </c>
      <c r="D48" s="21">
        <v>4219504</v>
      </c>
      <c r="E48" s="21">
        <v>4902778</v>
      </c>
      <c r="F48" s="21">
        <v>4902778</v>
      </c>
      <c r="G48" s="25">
        <v>4691251</v>
      </c>
      <c r="H48" s="21">
        <v>4485868</v>
      </c>
      <c r="I48" s="21">
        <v>7608500</v>
      </c>
      <c r="J48" s="21">
        <v>4380129</v>
      </c>
      <c r="K48" s="21">
        <v>3872457</v>
      </c>
      <c r="L48" s="21">
        <v>3720235</v>
      </c>
      <c r="M48" s="21">
        <v>5471716</v>
      </c>
      <c r="N48" s="21">
        <v>6373969</v>
      </c>
      <c r="O48" s="25">
        <v>7500647</v>
      </c>
      <c r="P48" s="21">
        <v>7965665</v>
      </c>
      <c r="Q48" s="21">
        <v>8259947</v>
      </c>
      <c r="R48" s="21">
        <v>9745654</v>
      </c>
      <c r="S48" s="25">
        <v>10701780</v>
      </c>
      <c r="T48" s="21">
        <v>10615526</v>
      </c>
      <c r="U48" s="21">
        <v>21262390</v>
      </c>
      <c r="V48" s="21">
        <v>10177838</v>
      </c>
      <c r="W48" s="25">
        <v>9968101</v>
      </c>
      <c r="X48" s="75"/>
    </row>
    <row r="49" spans="1:24" ht="17">
      <c r="B49" s="50" t="s">
        <v>57</v>
      </c>
      <c r="C49" s="50"/>
      <c r="D49" s="2">
        <v>1150595</v>
      </c>
      <c r="E49" s="2">
        <v>875147</v>
      </c>
      <c r="F49" s="2">
        <v>1099339</v>
      </c>
      <c r="G49" s="2">
        <v>915313</v>
      </c>
      <c r="H49" s="2">
        <v>908978</v>
      </c>
      <c r="I49" s="2">
        <v>391211</v>
      </c>
      <c r="J49" s="2">
        <v>441238</v>
      </c>
      <c r="K49" s="2">
        <v>666500</v>
      </c>
      <c r="L49" s="2">
        <v>510499</v>
      </c>
      <c r="M49" s="2">
        <v>1298264</v>
      </c>
      <c r="N49" s="2">
        <v>3044621</v>
      </c>
      <c r="O49" s="2">
        <v>3183504</v>
      </c>
      <c r="P49" s="2">
        <v>2300639</v>
      </c>
      <c r="Q49" s="2">
        <v>3975205</v>
      </c>
      <c r="R49" s="2">
        <v>3901751</v>
      </c>
      <c r="S49" s="2">
        <v>2601832</v>
      </c>
      <c r="T49" s="2">
        <v>1186114</v>
      </c>
      <c r="U49" s="2">
        <v>1699123</v>
      </c>
      <c r="V49" s="2">
        <v>1021347</v>
      </c>
      <c r="W49" s="2">
        <v>2385937</v>
      </c>
      <c r="X49" s="75"/>
    </row>
    <row r="50" spans="1:24">
      <c r="B50" s="45" t="s">
        <v>56</v>
      </c>
      <c r="D50" s="21">
        <v>24826681</v>
      </c>
      <c r="E50" s="21">
        <v>25231141</v>
      </c>
      <c r="F50" s="21">
        <v>25231141</v>
      </c>
      <c r="G50" s="25">
        <v>26098052</v>
      </c>
      <c r="H50" s="21">
        <v>27728615</v>
      </c>
      <c r="I50" s="21">
        <v>26892528</v>
      </c>
      <c r="J50" s="21">
        <v>24505423</v>
      </c>
      <c r="K50" s="21">
        <v>24056755</v>
      </c>
      <c r="L50" s="21">
        <v>24526158</v>
      </c>
      <c r="M50" s="21">
        <v>27043823</v>
      </c>
      <c r="N50" s="21">
        <v>32191140</v>
      </c>
      <c r="O50" s="25">
        <v>36123703</v>
      </c>
      <c r="P50" s="21">
        <v>38989683</v>
      </c>
      <c r="Q50" s="21">
        <v>35913004</v>
      </c>
      <c r="R50" s="21">
        <v>41216840</v>
      </c>
      <c r="S50" s="25">
        <v>45359207</v>
      </c>
      <c r="T50" s="21">
        <v>46376300</v>
      </c>
      <c r="U50" s="21">
        <v>46287550</v>
      </c>
      <c r="V50" s="21">
        <v>36004462</v>
      </c>
      <c r="W50" s="25">
        <v>38765189</v>
      </c>
      <c r="X50" s="75"/>
    </row>
    <row r="51" spans="1:24">
      <c r="B51" s="45" t="s">
        <v>55</v>
      </c>
      <c r="D51" s="21">
        <v>7268699</v>
      </c>
      <c r="E51" s="21">
        <v>7896894</v>
      </c>
      <c r="F51" s="21">
        <v>7896894</v>
      </c>
      <c r="G51" s="25">
        <v>7675226</v>
      </c>
      <c r="H51" s="21">
        <v>7802775</v>
      </c>
      <c r="I51" s="21">
        <v>10925654</v>
      </c>
      <c r="J51" s="21">
        <v>7925952</v>
      </c>
      <c r="K51" s="21">
        <v>7117559</v>
      </c>
      <c r="L51" s="21">
        <v>6960390</v>
      </c>
      <c r="M51" s="21">
        <v>9535936</v>
      </c>
      <c r="N51" s="21">
        <v>11167411</v>
      </c>
      <c r="O51" s="25">
        <v>11869979</v>
      </c>
      <c r="P51" s="21">
        <v>12467527</v>
      </c>
      <c r="Q51" s="21">
        <v>13208418</v>
      </c>
      <c r="R51" s="21">
        <v>14782291</v>
      </c>
      <c r="S51" s="25">
        <v>16443161</v>
      </c>
      <c r="T51" s="21">
        <v>16673440</v>
      </c>
      <c r="U51" s="21">
        <v>18466305</v>
      </c>
      <c r="V51" s="21">
        <v>16576827</v>
      </c>
      <c r="W51" s="25">
        <v>17201993</v>
      </c>
      <c r="X51" s="75"/>
    </row>
    <row r="52" spans="1:24" ht="17">
      <c r="A52" s="76">
        <v>9</v>
      </c>
      <c r="B52" s="50" t="s">
        <v>123</v>
      </c>
      <c r="C52" s="50" t="s">
        <v>124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75"/>
    </row>
    <row r="53" spans="1:24">
      <c r="B53" s="45" t="s">
        <v>58</v>
      </c>
      <c r="D53" s="21">
        <v>11326325659911</v>
      </c>
      <c r="E53" s="21">
        <v>10661178989127</v>
      </c>
      <c r="F53" s="21">
        <v>11084871211801</v>
      </c>
      <c r="G53" s="25">
        <v>11222490978401</v>
      </c>
      <c r="H53" s="21">
        <v>12672173477939</v>
      </c>
      <c r="I53" s="21">
        <v>12607408568426</v>
      </c>
      <c r="J53" s="21">
        <v>12887113859820</v>
      </c>
      <c r="K53" s="21">
        <v>13075331880715</v>
      </c>
      <c r="L53" s="21">
        <v>14091243420444</v>
      </c>
      <c r="M53" s="21">
        <v>13624909477870</v>
      </c>
      <c r="N53" s="21">
        <v>14423154322099</v>
      </c>
      <c r="O53" s="25">
        <v>15712209507638</v>
      </c>
      <c r="P53" s="21">
        <v>16878091073148</v>
      </c>
      <c r="Q53" s="21">
        <v>15296866906331</v>
      </c>
      <c r="R53" s="21">
        <v>16149431090789</v>
      </c>
      <c r="S53" s="25">
        <v>16710229570163</v>
      </c>
      <c r="T53" s="21">
        <v>17568017774578</v>
      </c>
      <c r="U53" s="21">
        <v>16658840369645</v>
      </c>
      <c r="V53" s="21">
        <v>16316381204797</v>
      </c>
      <c r="W53" s="25">
        <v>15917724100860</v>
      </c>
      <c r="X53" s="75"/>
    </row>
    <row r="54" spans="1:24">
      <c r="B54" s="45" t="s">
        <v>59</v>
      </c>
      <c r="D54" s="21">
        <v>2652092865505</v>
      </c>
      <c r="E54" s="21">
        <v>2658377795816</v>
      </c>
      <c r="F54" s="21">
        <v>2551863789452</v>
      </c>
      <c r="G54" s="25">
        <v>2577108805851</v>
      </c>
      <c r="H54" s="21">
        <v>3848869597821</v>
      </c>
      <c r="I54" s="21">
        <v>3858586634688</v>
      </c>
      <c r="J54" s="21">
        <v>3362011464588</v>
      </c>
      <c r="K54" s="21">
        <v>3176726211674</v>
      </c>
      <c r="L54" s="21">
        <v>3507575318490</v>
      </c>
      <c r="M54" s="21">
        <v>3124616228566</v>
      </c>
      <c r="N54" s="21">
        <v>3325096534171</v>
      </c>
      <c r="O54" s="25">
        <v>3534656089431</v>
      </c>
      <c r="P54" s="21">
        <v>4040387562605</v>
      </c>
      <c r="Q54" s="21">
        <v>3747342452503</v>
      </c>
      <c r="R54" s="21">
        <v>4253260300565</v>
      </c>
      <c r="S54" s="25">
        <v>4431038459634</v>
      </c>
      <c r="T54" s="21">
        <v>4611540125551</v>
      </c>
      <c r="U54" s="21">
        <v>4979643328585</v>
      </c>
      <c r="V54" s="21">
        <v>4178640601764</v>
      </c>
      <c r="W54" s="25">
        <v>3243168544925</v>
      </c>
      <c r="X54" s="75"/>
    </row>
    <row r="55" spans="1:24" ht="17">
      <c r="B55" s="50" t="s">
        <v>57</v>
      </c>
      <c r="C55" s="50"/>
      <c r="D55" s="2">
        <v>603614521810</v>
      </c>
      <c r="E55" s="2">
        <v>674828869748</v>
      </c>
      <c r="F55" s="2">
        <v>667387343357</v>
      </c>
      <c r="G55" s="2">
        <v>591771088730</v>
      </c>
      <c r="H55" s="2">
        <v>677028576662</v>
      </c>
      <c r="I55" s="2">
        <v>731152506076</v>
      </c>
      <c r="J55" s="2">
        <v>664043053606</v>
      </c>
      <c r="K55" s="2">
        <v>727398379470</v>
      </c>
      <c r="L55" s="2">
        <v>723912829802</v>
      </c>
      <c r="M55" s="2">
        <v>787835181324</v>
      </c>
      <c r="N55" s="2">
        <v>812562795727</v>
      </c>
      <c r="O55" s="2">
        <v>907696876428</v>
      </c>
      <c r="P55" s="2">
        <v>852664361559</v>
      </c>
      <c r="Q55" s="2">
        <v>820087878933</v>
      </c>
      <c r="R55" s="2">
        <v>861463107055</v>
      </c>
      <c r="S55" s="2">
        <v>915868064744</v>
      </c>
      <c r="T55" s="2">
        <v>853873249319</v>
      </c>
      <c r="U55" s="2">
        <v>662794127095</v>
      </c>
      <c r="V55" s="2">
        <v>556628982915</v>
      </c>
      <c r="W55" s="2">
        <v>705108460172</v>
      </c>
      <c r="X55" s="75"/>
    </row>
    <row r="56" spans="1:24">
      <c r="B56" s="45" t="s">
        <v>56</v>
      </c>
      <c r="D56" s="21">
        <v>19177851015254</v>
      </c>
      <c r="E56" s="21">
        <v>18813050576863</v>
      </c>
      <c r="F56" s="21">
        <v>19593943644192</v>
      </c>
      <c r="G56" s="25">
        <v>20264726862584</v>
      </c>
      <c r="H56" s="21">
        <v>22132154299532</v>
      </c>
      <c r="I56" s="21">
        <v>22091102524240</v>
      </c>
      <c r="J56" s="21">
        <v>22450538569712</v>
      </c>
      <c r="K56" s="21">
        <v>22564300317374</v>
      </c>
      <c r="L56" s="21">
        <v>23931375139708</v>
      </c>
      <c r="M56" s="21">
        <v>23407459736800</v>
      </c>
      <c r="N56" s="21">
        <v>24266776390675</v>
      </c>
      <c r="O56" s="25">
        <v>25666635156271</v>
      </c>
      <c r="P56" s="21">
        <v>26861580833610</v>
      </c>
      <c r="Q56" s="21">
        <v>25263347746818</v>
      </c>
      <c r="R56" s="21">
        <v>26187153770787</v>
      </c>
      <c r="S56" s="25">
        <v>27241313025674</v>
      </c>
      <c r="T56" s="21">
        <v>28239682358888</v>
      </c>
      <c r="U56" s="21">
        <v>27419566533634</v>
      </c>
      <c r="V56" s="21">
        <v>27181763267078</v>
      </c>
      <c r="W56" s="25">
        <v>27057568182323</v>
      </c>
      <c r="X56" s="75"/>
    </row>
    <row r="57" spans="1:24">
      <c r="B57" s="45" t="s">
        <v>55</v>
      </c>
      <c r="D57" s="21">
        <v>3320263540428</v>
      </c>
      <c r="E57" s="21">
        <v>3516192523835</v>
      </c>
      <c r="F57" s="21">
        <v>3458042857031</v>
      </c>
      <c r="G57" s="25">
        <v>3559144386553</v>
      </c>
      <c r="H57" s="21">
        <v>4875822010750</v>
      </c>
      <c r="I57" s="21">
        <v>4910431690506</v>
      </c>
      <c r="J57" s="21">
        <v>4547942043296</v>
      </c>
      <c r="K57" s="21">
        <v>4288218173294</v>
      </c>
      <c r="L57" s="21">
        <v>4475955996229</v>
      </c>
      <c r="M57" s="21">
        <v>4090665228445</v>
      </c>
      <c r="N57" s="21">
        <v>4275035066846</v>
      </c>
      <c r="O57" s="25">
        <v>4400757363148</v>
      </c>
      <c r="P57" s="21">
        <v>4915600828178</v>
      </c>
      <c r="Q57" s="21">
        <v>4533532672642</v>
      </c>
      <c r="R57" s="21">
        <v>5038334235923</v>
      </c>
      <c r="S57" s="25">
        <v>5143984823285</v>
      </c>
      <c r="T57" s="21">
        <v>5318489409734</v>
      </c>
      <c r="U57" s="21">
        <v>5642937693481</v>
      </c>
      <c r="V57" s="21">
        <v>4808027354414</v>
      </c>
      <c r="W57" s="25">
        <v>3937546172108</v>
      </c>
      <c r="X57" s="75"/>
    </row>
    <row r="58" spans="1:24" ht="17">
      <c r="A58" s="76">
        <v>10</v>
      </c>
      <c r="B58" s="51" t="s">
        <v>125</v>
      </c>
      <c r="C58" s="50" t="s">
        <v>126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75"/>
    </row>
    <row r="59" spans="1:24">
      <c r="B59" s="45" t="s">
        <v>58</v>
      </c>
      <c r="D59" s="21">
        <v>9983449638</v>
      </c>
      <c r="E59" s="21">
        <v>9587811405</v>
      </c>
      <c r="F59" s="21">
        <v>9587811405</v>
      </c>
      <c r="G59" s="25">
        <v>9642587369</v>
      </c>
      <c r="H59" s="21">
        <v>9762660535</v>
      </c>
      <c r="I59" s="21">
        <v>9762660535</v>
      </c>
      <c r="J59" s="21">
        <v>9299440141</v>
      </c>
      <c r="K59" s="21">
        <v>8590023831</v>
      </c>
      <c r="L59" s="21">
        <v>8832870547</v>
      </c>
      <c r="M59" s="21">
        <v>11286678758</v>
      </c>
      <c r="N59" s="21">
        <v>11144073919</v>
      </c>
      <c r="O59" s="25">
        <v>11453040378</v>
      </c>
      <c r="P59" s="21">
        <v>12608920943</v>
      </c>
      <c r="Q59" s="21">
        <v>12608920943</v>
      </c>
      <c r="R59" s="21">
        <v>12656739414</v>
      </c>
      <c r="S59" s="25">
        <v>12253466079</v>
      </c>
      <c r="T59" s="21">
        <v>12362394221</v>
      </c>
      <c r="U59" s="21">
        <v>12254551581</v>
      </c>
      <c r="V59" s="21">
        <v>12532551363</v>
      </c>
      <c r="W59" s="25">
        <v>13055426298</v>
      </c>
      <c r="X59" s="75"/>
    </row>
    <row r="60" spans="1:24">
      <c r="B60" s="45" t="s">
        <v>59</v>
      </c>
      <c r="D60" s="21">
        <v>4217754786</v>
      </c>
      <c r="E60" s="21">
        <v>3611897393</v>
      </c>
      <c r="F60" s="21">
        <v>3611897393</v>
      </c>
      <c r="G60" s="25">
        <v>3373096633</v>
      </c>
      <c r="H60" s="21">
        <v>3937421244</v>
      </c>
      <c r="I60" s="21">
        <v>3937421244</v>
      </c>
      <c r="J60" s="21">
        <v>3373459266</v>
      </c>
      <c r="K60" s="21">
        <v>4336698236</v>
      </c>
      <c r="L60" s="21">
        <v>4427509857</v>
      </c>
      <c r="M60" s="21">
        <v>4337919952</v>
      </c>
      <c r="N60" s="21">
        <v>3789945865</v>
      </c>
      <c r="O60" s="25">
        <v>3018980942</v>
      </c>
      <c r="P60" s="21">
        <v>2849062852</v>
      </c>
      <c r="Q60" s="21">
        <v>2849062852</v>
      </c>
      <c r="R60" s="21">
        <v>2751107929</v>
      </c>
      <c r="S60" s="25">
        <v>2633500064</v>
      </c>
      <c r="T60" s="21">
        <v>2851672166</v>
      </c>
      <c r="U60" s="21">
        <v>2916538136</v>
      </c>
      <c r="V60" s="21">
        <v>2667145074</v>
      </c>
      <c r="W60" s="25">
        <v>2532140718</v>
      </c>
      <c r="X60" s="75"/>
    </row>
    <row r="61" spans="1:24" ht="17">
      <c r="B61" s="50" t="s">
        <v>57</v>
      </c>
      <c r="C61" s="50"/>
      <c r="D61" s="229">
        <v>859022380</v>
      </c>
      <c r="E61" s="2">
        <v>774770456</v>
      </c>
      <c r="F61" s="2">
        <v>860906071</v>
      </c>
      <c r="G61" s="2">
        <v>745097320</v>
      </c>
      <c r="H61" s="2">
        <v>123772843</v>
      </c>
      <c r="I61" s="2">
        <v>398960343</v>
      </c>
      <c r="J61" s="2">
        <v>205635675</v>
      </c>
      <c r="K61" s="2">
        <v>390744149</v>
      </c>
      <c r="L61" s="2">
        <v>253163221</v>
      </c>
      <c r="M61" s="2">
        <v>272989214</v>
      </c>
      <c r="N61" s="2">
        <v>273849084</v>
      </c>
      <c r="O61" s="2">
        <v>750432820</v>
      </c>
      <c r="P61" s="2">
        <v>408963600</v>
      </c>
      <c r="Q61" s="2">
        <v>450521155</v>
      </c>
      <c r="R61" s="2">
        <v>522893922</v>
      </c>
      <c r="S61" s="2">
        <v>448751324</v>
      </c>
      <c r="T61" s="2">
        <v>658352884</v>
      </c>
      <c r="U61" s="2">
        <v>582097617</v>
      </c>
      <c r="V61" s="2">
        <v>467625153</v>
      </c>
      <c r="W61" s="2">
        <v>673793600</v>
      </c>
      <c r="X61" s="75"/>
    </row>
    <row r="62" spans="1:24">
      <c r="B62" s="45" t="s">
        <v>56</v>
      </c>
      <c r="D62" s="21">
        <v>25458212998</v>
      </c>
      <c r="E62" s="21">
        <v>25655668473</v>
      </c>
      <c r="F62" s="21">
        <v>25655668473</v>
      </c>
      <c r="G62" s="25">
        <v>26095153343</v>
      </c>
      <c r="H62" s="21">
        <v>26492459196</v>
      </c>
      <c r="I62" s="21">
        <v>26492459196</v>
      </c>
      <c r="J62" s="21">
        <v>26046376431</v>
      </c>
      <c r="K62" s="21">
        <v>26458805377</v>
      </c>
      <c r="L62" s="21">
        <v>26662454631</v>
      </c>
      <c r="M62" s="21">
        <v>29035591936</v>
      </c>
      <c r="N62" s="21">
        <v>28675013473</v>
      </c>
      <c r="O62" s="25">
        <v>28866081129</v>
      </c>
      <c r="P62" s="21">
        <v>29722327027</v>
      </c>
      <c r="Q62" s="21">
        <v>29722327027</v>
      </c>
      <c r="R62" s="21">
        <v>30034158815</v>
      </c>
      <c r="S62" s="25">
        <v>30602179916</v>
      </c>
      <c r="T62" s="21">
        <v>31231139818</v>
      </c>
      <c r="U62" s="21">
        <v>31583916930</v>
      </c>
      <c r="V62" s="21">
        <v>32055949001</v>
      </c>
      <c r="W62" s="25">
        <v>32710786983</v>
      </c>
      <c r="X62" s="75"/>
    </row>
    <row r="63" spans="1:24">
      <c r="B63" s="45" t="s">
        <v>55</v>
      </c>
      <c r="D63" s="21">
        <v>9285679190</v>
      </c>
      <c r="E63" s="21">
        <v>8294892944</v>
      </c>
      <c r="F63" s="21">
        <v>8294892944</v>
      </c>
      <c r="G63" s="25">
        <v>7999510286</v>
      </c>
      <c r="H63" s="21">
        <v>9458926481</v>
      </c>
      <c r="I63" s="21">
        <v>9458926481</v>
      </c>
      <c r="J63" s="21">
        <v>8808572784</v>
      </c>
      <c r="K63" s="21">
        <v>8860110106</v>
      </c>
      <c r="L63" s="21">
        <v>8809405994</v>
      </c>
      <c r="M63" s="21">
        <v>10910315661</v>
      </c>
      <c r="N63" s="21">
        <v>10274912441</v>
      </c>
      <c r="O63" s="25">
        <v>9687642670</v>
      </c>
      <c r="P63" s="21">
        <v>9683255877</v>
      </c>
      <c r="Q63" s="21">
        <v>9683255877</v>
      </c>
      <c r="R63" s="21">
        <v>9751808758</v>
      </c>
      <c r="S63" s="25">
        <v>9883903905</v>
      </c>
      <c r="T63" s="21">
        <v>9857265463</v>
      </c>
      <c r="U63" s="21">
        <v>9915622123</v>
      </c>
      <c r="V63" s="21">
        <v>9911594854</v>
      </c>
      <c r="W63" s="25">
        <v>9915452617</v>
      </c>
      <c r="X63" s="75"/>
    </row>
    <row r="64" spans="1:24" ht="17">
      <c r="A64" s="76">
        <v>11</v>
      </c>
      <c r="B64" s="50" t="s">
        <v>127</v>
      </c>
      <c r="C64" s="50" t="s">
        <v>128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75"/>
    </row>
    <row r="65" spans="1:24">
      <c r="B65" s="45" t="s">
        <v>58</v>
      </c>
      <c r="D65" s="21">
        <v>3824830923</v>
      </c>
      <c r="E65" s="21">
        <v>3974508378</v>
      </c>
      <c r="F65" s="21">
        <v>3847272031</v>
      </c>
      <c r="G65" s="25">
        <v>3559331625</v>
      </c>
      <c r="H65" s="21">
        <v>4008792759</v>
      </c>
      <c r="I65" s="21">
        <v>3628975711</v>
      </c>
      <c r="J65" s="21">
        <v>3749119322</v>
      </c>
      <c r="K65" s="21">
        <v>3609040737</v>
      </c>
      <c r="L65" s="21">
        <v>3684185686</v>
      </c>
      <c r="M65" s="21">
        <v>3777989683</v>
      </c>
      <c r="N65" s="21">
        <v>3787776789</v>
      </c>
      <c r="O65" s="25">
        <v>6660356466</v>
      </c>
      <c r="P65" s="21">
        <v>6796023749</v>
      </c>
      <c r="Q65" s="21">
        <v>7903742310</v>
      </c>
      <c r="R65" s="21">
        <v>7903742310</v>
      </c>
      <c r="S65" s="25">
        <v>7629132798</v>
      </c>
      <c r="T65" s="21">
        <v>7196867968</v>
      </c>
      <c r="U65" s="21">
        <v>6991745660</v>
      </c>
      <c r="V65" s="21">
        <v>6939380069</v>
      </c>
      <c r="W65" s="25">
        <v>7427106376</v>
      </c>
      <c r="X65" s="75"/>
    </row>
    <row r="66" spans="1:24">
      <c r="B66" s="45" t="s">
        <v>59</v>
      </c>
      <c r="D66" s="21">
        <v>864367298</v>
      </c>
      <c r="E66" s="21">
        <v>1049123229</v>
      </c>
      <c r="F66" s="21">
        <v>1075964200</v>
      </c>
      <c r="G66" s="25">
        <v>988970149</v>
      </c>
      <c r="H66" s="21">
        <v>1148649881</v>
      </c>
      <c r="I66" s="21">
        <v>889904433</v>
      </c>
      <c r="J66" s="21">
        <v>1042502202</v>
      </c>
      <c r="K66" s="21">
        <v>1542474950</v>
      </c>
      <c r="L66" s="21">
        <v>1501898469</v>
      </c>
      <c r="M66" s="21">
        <v>1278308719</v>
      </c>
      <c r="N66" s="21">
        <v>1349362768</v>
      </c>
      <c r="O66" s="25">
        <v>1697696732</v>
      </c>
      <c r="P66" s="21">
        <v>1692809257</v>
      </c>
      <c r="Q66" s="21">
        <v>1835664271</v>
      </c>
      <c r="R66" s="21">
        <v>1835664271</v>
      </c>
      <c r="S66" s="25">
        <v>2082974919</v>
      </c>
      <c r="T66" s="21">
        <v>1753483047</v>
      </c>
      <c r="U66" s="21">
        <v>2109801858</v>
      </c>
      <c r="V66" s="21">
        <v>1923584726</v>
      </c>
      <c r="W66" s="25">
        <v>2278213517</v>
      </c>
      <c r="X66" s="75"/>
    </row>
    <row r="67" spans="1:24" ht="17">
      <c r="B67" s="50" t="s">
        <v>57</v>
      </c>
      <c r="C67" s="50"/>
      <c r="D67" s="2">
        <v>394093608</v>
      </c>
      <c r="E67" s="2">
        <v>365324617</v>
      </c>
      <c r="F67" s="2">
        <v>232170198</v>
      </c>
      <c r="G67" s="2">
        <v>59576179</v>
      </c>
      <c r="H67" s="2">
        <v>328011546</v>
      </c>
      <c r="I67" s="2">
        <v>274784275</v>
      </c>
      <c r="J67" s="2">
        <v>308348587</v>
      </c>
      <c r="K67" s="2">
        <v>238918831</v>
      </c>
      <c r="L67" s="2">
        <v>349071454</v>
      </c>
      <c r="M67" s="2">
        <v>398707835</v>
      </c>
      <c r="N67" s="2">
        <v>339364741</v>
      </c>
      <c r="O67" s="2">
        <v>250841761</v>
      </c>
      <c r="P67" s="2">
        <v>261678923</v>
      </c>
      <c r="Q67" s="2">
        <v>304044697</v>
      </c>
      <c r="R67" s="2">
        <v>175977820</v>
      </c>
      <c r="S67" s="2">
        <v>-61826419</v>
      </c>
      <c r="T67" s="2">
        <v>9665896</v>
      </c>
      <c r="U67" s="2">
        <v>-45153823</v>
      </c>
      <c r="V67" s="2">
        <v>138264437</v>
      </c>
      <c r="W67" s="2">
        <v>53088706</v>
      </c>
      <c r="X67" s="75"/>
    </row>
    <row r="68" spans="1:24">
      <c r="B68" s="45" t="s">
        <v>56</v>
      </c>
      <c r="D68" s="21">
        <v>6565029652</v>
      </c>
      <c r="E68" s="21">
        <v>6901397056</v>
      </c>
      <c r="F68" s="21">
        <v>7114718467</v>
      </c>
      <c r="G68" s="25">
        <v>6716724073</v>
      </c>
      <c r="H68" s="21">
        <v>7187914863</v>
      </c>
      <c r="I68" s="21">
        <v>6788783649</v>
      </c>
      <c r="J68" s="21">
        <v>6891163811</v>
      </c>
      <c r="K68" s="21">
        <v>6766903494</v>
      </c>
      <c r="L68" s="21">
        <v>6859864628</v>
      </c>
      <c r="M68" s="21">
        <v>6930044625</v>
      </c>
      <c r="N68" s="21">
        <v>6988066146</v>
      </c>
      <c r="O68" s="25">
        <v>9913440970</v>
      </c>
      <c r="P68" s="21">
        <v>10144250712</v>
      </c>
      <c r="Q68" s="21">
        <v>11359142061</v>
      </c>
      <c r="R68" s="21">
        <v>11359142061</v>
      </c>
      <c r="S68" s="25">
        <v>10959097127</v>
      </c>
      <c r="T68" s="21">
        <v>10636787148</v>
      </c>
      <c r="U68" s="21">
        <v>10555453649</v>
      </c>
      <c r="V68" s="21">
        <v>10509926921</v>
      </c>
      <c r="W68" s="25">
        <v>11052506174</v>
      </c>
      <c r="X68" s="75"/>
    </row>
    <row r="69" spans="1:24">
      <c r="B69" s="45" t="s">
        <v>55</v>
      </c>
      <c r="D69" s="21">
        <v>1105118819</v>
      </c>
      <c r="E69" s="21">
        <v>1282305266</v>
      </c>
      <c r="F69" s="21">
        <v>1321305356</v>
      </c>
      <c r="G69" s="25">
        <v>1228125546</v>
      </c>
      <c r="H69" s="21">
        <v>1399388541</v>
      </c>
      <c r="I69" s="21">
        <v>1154596970</v>
      </c>
      <c r="J69" s="21">
        <v>1319569611</v>
      </c>
      <c r="K69" s="21">
        <v>2870316946</v>
      </c>
      <c r="L69" s="21">
        <v>2623960419</v>
      </c>
      <c r="M69" s="21">
        <v>2259882030</v>
      </c>
      <c r="N69" s="21">
        <v>1990565999</v>
      </c>
      <c r="O69" s="25">
        <v>2452264250</v>
      </c>
      <c r="P69" s="21">
        <v>2392804723</v>
      </c>
      <c r="Q69" s="21">
        <v>2518042830</v>
      </c>
      <c r="R69" s="21">
        <v>2518042830</v>
      </c>
      <c r="S69" s="25">
        <v>2249801234</v>
      </c>
      <c r="T69" s="21">
        <v>1919124930</v>
      </c>
      <c r="U69" s="21">
        <v>2291863395</v>
      </c>
      <c r="V69" s="21">
        <v>2102211396</v>
      </c>
      <c r="W69" s="25">
        <v>2569934269</v>
      </c>
      <c r="X69" s="75"/>
    </row>
    <row r="70" spans="1:24" ht="17">
      <c r="A70" s="76">
        <v>12</v>
      </c>
      <c r="B70" s="50" t="s">
        <v>129</v>
      </c>
      <c r="C70" s="50" t="s">
        <v>130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75"/>
    </row>
    <row r="71" spans="1:24">
      <c r="B71" s="45" t="s">
        <v>58</v>
      </c>
      <c r="D71" s="21">
        <v>55648606</v>
      </c>
      <c r="E71" s="21">
        <v>57502770</v>
      </c>
      <c r="F71" s="21">
        <v>57502770</v>
      </c>
      <c r="G71" s="25">
        <v>50826955</v>
      </c>
      <c r="H71" s="21">
        <v>49255715</v>
      </c>
      <c r="I71" s="21">
        <v>44950066</v>
      </c>
      <c r="J71" s="21">
        <v>45475097</v>
      </c>
      <c r="K71" s="21">
        <v>44195782</v>
      </c>
      <c r="L71" s="21">
        <v>49179760</v>
      </c>
      <c r="M71" s="21">
        <v>52116761</v>
      </c>
      <c r="N71" s="21">
        <v>57192554</v>
      </c>
      <c r="O71" s="25">
        <v>60604068</v>
      </c>
      <c r="P71" s="21">
        <v>66342216</v>
      </c>
      <c r="Q71" s="21">
        <v>73640722</v>
      </c>
      <c r="R71" s="21">
        <v>81282703</v>
      </c>
      <c r="S71" s="25">
        <v>78930048</v>
      </c>
      <c r="T71" s="21">
        <v>86830701</v>
      </c>
      <c r="U71" s="21">
        <v>67844633</v>
      </c>
      <c r="V71" s="21">
        <v>72623208</v>
      </c>
      <c r="W71" s="25">
        <v>62667105</v>
      </c>
      <c r="X71" s="75"/>
    </row>
    <row r="72" spans="1:24">
      <c r="B72" s="45" t="s">
        <v>59</v>
      </c>
      <c r="D72" s="21">
        <v>41920066</v>
      </c>
      <c r="E72" s="21">
        <v>41143176</v>
      </c>
      <c r="F72" s="21">
        <v>41143176</v>
      </c>
      <c r="G72" s="25">
        <v>32585529</v>
      </c>
      <c r="H72" s="21">
        <v>27269165</v>
      </c>
      <c r="I72" s="21">
        <v>25648300</v>
      </c>
      <c r="J72" s="21">
        <v>22994275</v>
      </c>
      <c r="K72" s="21">
        <v>20943824</v>
      </c>
      <c r="L72" s="21">
        <v>25039639</v>
      </c>
      <c r="M72" s="21">
        <v>27358810</v>
      </c>
      <c r="N72" s="21">
        <v>29537128</v>
      </c>
      <c r="O72" s="25">
        <v>30489218</v>
      </c>
      <c r="P72" s="21">
        <v>32606370</v>
      </c>
      <c r="Q72" s="21">
        <v>37991591</v>
      </c>
      <c r="R72" s="21">
        <v>46673298</v>
      </c>
      <c r="S72" s="25">
        <v>42037402</v>
      </c>
      <c r="T72" s="21">
        <v>50277568</v>
      </c>
      <c r="U72" s="21">
        <v>49842101</v>
      </c>
      <c r="V72" s="21">
        <v>65553431</v>
      </c>
      <c r="W72" s="25">
        <v>43038299</v>
      </c>
      <c r="X72" s="75"/>
    </row>
    <row r="73" spans="1:24" ht="17">
      <c r="B73" s="50" t="s">
        <v>57</v>
      </c>
      <c r="C73" s="50"/>
      <c r="D73" s="2">
        <v>3143421</v>
      </c>
      <c r="E73" s="2">
        <v>2566058</v>
      </c>
      <c r="F73" s="2">
        <v>2854476</v>
      </c>
      <c r="G73" s="2">
        <v>2570686</v>
      </c>
      <c r="H73" s="2">
        <v>1801233</v>
      </c>
      <c r="I73" s="2">
        <v>2293520</v>
      </c>
      <c r="J73" s="2">
        <v>1093070</v>
      </c>
      <c r="K73" s="2">
        <v>444602</v>
      </c>
      <c r="L73" s="2">
        <v>1939291</v>
      </c>
      <c r="M73" s="2">
        <v>2749510</v>
      </c>
      <c r="N73" s="2">
        <v>3377121</v>
      </c>
      <c r="O73" s="2">
        <v>2542345</v>
      </c>
      <c r="P73" s="2">
        <v>4717836</v>
      </c>
      <c r="Q73" s="2">
        <v>6754271</v>
      </c>
      <c r="R73" s="2">
        <v>5959241</v>
      </c>
      <c r="S73" s="2">
        <v>5562325</v>
      </c>
      <c r="T73" s="2">
        <v>5863034</v>
      </c>
      <c r="U73" s="2">
        <v>6480373</v>
      </c>
      <c r="V73" s="2">
        <v>4098115</v>
      </c>
      <c r="W73" s="2">
        <v>5688574</v>
      </c>
      <c r="X73" s="75"/>
    </row>
    <row r="74" spans="1:24">
      <c r="B74" s="45" t="s">
        <v>56</v>
      </c>
      <c r="D74" s="21">
        <v>116924761</v>
      </c>
      <c r="E74" s="21">
        <v>119338066</v>
      </c>
      <c r="F74" s="21">
        <v>119338066</v>
      </c>
      <c r="G74" s="25">
        <v>111713375</v>
      </c>
      <c r="H74" s="21">
        <v>114908529</v>
      </c>
      <c r="I74" s="21">
        <v>104220997</v>
      </c>
      <c r="J74" s="21">
        <v>104591240</v>
      </c>
      <c r="K74" s="21">
        <v>99800963</v>
      </c>
      <c r="L74" s="21">
        <v>105302282</v>
      </c>
      <c r="M74" s="21">
        <v>106860045</v>
      </c>
      <c r="N74" s="21">
        <v>110693218</v>
      </c>
      <c r="O74" s="25">
        <v>112561356</v>
      </c>
      <c r="P74" s="21">
        <v>120094702</v>
      </c>
      <c r="Q74" s="21">
        <v>129237472</v>
      </c>
      <c r="R74" s="21">
        <v>140170657</v>
      </c>
      <c r="S74" s="25">
        <v>140478220</v>
      </c>
      <c r="T74" s="21">
        <v>150701142</v>
      </c>
      <c r="U74" s="21">
        <v>134463146</v>
      </c>
      <c r="V74" s="21">
        <v>153141630</v>
      </c>
      <c r="W74" s="25">
        <v>154028248</v>
      </c>
      <c r="X74" s="75"/>
    </row>
    <row r="75" spans="1:24">
      <c r="B75" s="45" t="s">
        <v>55</v>
      </c>
      <c r="D75" s="21">
        <v>57163435</v>
      </c>
      <c r="E75" s="21">
        <v>58326512</v>
      </c>
      <c r="F75" s="21">
        <v>58326512</v>
      </c>
      <c r="G75" s="25">
        <v>50603301</v>
      </c>
      <c r="H75" s="21">
        <v>48510914</v>
      </c>
      <c r="I75" s="21">
        <v>42637957</v>
      </c>
      <c r="J75" s="21">
        <v>40544611</v>
      </c>
      <c r="K75" s="21">
        <v>36653823</v>
      </c>
      <c r="L75" s="21">
        <v>38258316</v>
      </c>
      <c r="M75" s="21">
        <v>39205620</v>
      </c>
      <c r="N75" s="21">
        <v>41228277</v>
      </c>
      <c r="O75" s="25">
        <v>40738599</v>
      </c>
      <c r="P75" s="21">
        <v>42974013</v>
      </c>
      <c r="Q75" s="21">
        <v>47275914</v>
      </c>
      <c r="R75" s="21">
        <v>56396754</v>
      </c>
      <c r="S75" s="25">
        <v>50964395</v>
      </c>
      <c r="T75" s="21">
        <v>59006724</v>
      </c>
      <c r="U75" s="21">
        <v>58641919</v>
      </c>
      <c r="V75" s="21">
        <v>74375782</v>
      </c>
      <c r="W75" s="25">
        <v>69992685</v>
      </c>
      <c r="X75" s="75"/>
    </row>
    <row r="76" spans="1:24" ht="17">
      <c r="A76" s="76">
        <v>13</v>
      </c>
      <c r="B76" s="50" t="s">
        <v>134</v>
      </c>
      <c r="C76" s="50" t="s">
        <v>133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75"/>
    </row>
    <row r="77" spans="1:24">
      <c r="B77" s="45" t="s">
        <v>58</v>
      </c>
      <c r="D77" s="21">
        <v>510332</v>
      </c>
      <c r="E77" s="21">
        <v>459796</v>
      </c>
      <c r="F77" s="21">
        <v>459796</v>
      </c>
      <c r="G77" s="25">
        <v>588313</v>
      </c>
      <c r="H77" s="21">
        <v>577316</v>
      </c>
      <c r="I77" s="21">
        <v>587808</v>
      </c>
      <c r="J77" s="21">
        <v>66791</v>
      </c>
      <c r="K77" s="21">
        <v>695972</v>
      </c>
      <c r="L77" s="21">
        <v>706953</v>
      </c>
      <c r="M77" s="21">
        <v>729798</v>
      </c>
      <c r="N77" s="21">
        <v>807397</v>
      </c>
      <c r="O77" s="25">
        <v>836576</v>
      </c>
      <c r="P77" s="21">
        <v>884285</v>
      </c>
      <c r="Q77" s="21">
        <v>970629</v>
      </c>
      <c r="R77" s="21">
        <v>1023257</v>
      </c>
      <c r="S77" s="25">
        <v>989802</v>
      </c>
      <c r="T77" s="21">
        <v>1087104</v>
      </c>
      <c r="U77" s="21">
        <v>1069406</v>
      </c>
      <c r="V77" s="21">
        <v>1099942</v>
      </c>
      <c r="W77" s="25">
        <v>1033119</v>
      </c>
      <c r="X77" s="75"/>
    </row>
    <row r="78" spans="1:24">
      <c r="B78" s="45" t="s">
        <v>59</v>
      </c>
      <c r="D78" s="21">
        <v>137029</v>
      </c>
      <c r="E78" s="21">
        <v>106098</v>
      </c>
      <c r="F78" s="21">
        <v>106098</v>
      </c>
      <c r="G78" s="25">
        <v>136552</v>
      </c>
      <c r="H78" s="21">
        <v>107349</v>
      </c>
      <c r="I78" s="21">
        <v>118188</v>
      </c>
      <c r="J78" s="21">
        <v>139976</v>
      </c>
      <c r="K78" s="21">
        <v>16071</v>
      </c>
      <c r="L78" s="21">
        <v>149382</v>
      </c>
      <c r="M78" s="21">
        <v>159356</v>
      </c>
      <c r="N78" s="21">
        <v>161464</v>
      </c>
      <c r="O78" s="25">
        <v>16843</v>
      </c>
      <c r="P78" s="21">
        <v>170545</v>
      </c>
      <c r="Q78" s="21">
        <v>170982</v>
      </c>
      <c r="R78" s="21">
        <v>194162</v>
      </c>
      <c r="S78" s="25">
        <v>175039</v>
      </c>
      <c r="T78" s="21">
        <v>205381</v>
      </c>
      <c r="U78" s="21">
        <v>202161</v>
      </c>
      <c r="V78" s="21">
        <v>221021</v>
      </c>
      <c r="W78" s="25">
        <v>216727</v>
      </c>
      <c r="X78" s="75"/>
    </row>
    <row r="79" spans="1:24" ht="17">
      <c r="B79" s="50" t="s">
        <v>57</v>
      </c>
      <c r="C79" s="50"/>
      <c r="D79" s="2">
        <v>-20162</v>
      </c>
      <c r="E79" s="2">
        <v>-5266</v>
      </c>
      <c r="F79" s="2">
        <v>25588</v>
      </c>
      <c r="G79" s="2">
        <v>57240</v>
      </c>
      <c r="H79" s="2">
        <v>28957</v>
      </c>
      <c r="I79" s="2">
        <v>24169</v>
      </c>
      <c r="J79" s="2">
        <v>-45462</v>
      </c>
      <c r="K79" s="2">
        <v>75155</v>
      </c>
      <c r="L79" s="2">
        <v>33694</v>
      </c>
      <c r="M79" s="2">
        <v>25092</v>
      </c>
      <c r="N79" s="2">
        <v>64151</v>
      </c>
      <c r="O79" s="2">
        <v>42860</v>
      </c>
      <c r="P79" s="2">
        <v>67648</v>
      </c>
      <c r="Q79" s="2">
        <v>82807</v>
      </c>
      <c r="R79" s="2">
        <v>17930</v>
      </c>
      <c r="S79" s="2">
        <v>32016</v>
      </c>
      <c r="T79" s="2">
        <v>98153</v>
      </c>
      <c r="U79" s="2">
        <v>70363</v>
      </c>
      <c r="V79" s="2">
        <v>52570</v>
      </c>
      <c r="W79" s="2">
        <v>53248</v>
      </c>
      <c r="X79" s="75"/>
    </row>
    <row r="80" spans="1:24">
      <c r="B80" s="45" t="s">
        <v>56</v>
      </c>
      <c r="D80" s="21">
        <v>2139356</v>
      </c>
      <c r="E80" s="21">
        <v>2109626</v>
      </c>
      <c r="F80" s="21">
        <v>2109626</v>
      </c>
      <c r="G80" s="25">
        <v>2222688</v>
      </c>
      <c r="H80" s="21">
        <v>2197568</v>
      </c>
      <c r="I80" s="21">
        <v>2237253</v>
      </c>
      <c r="J80" s="21">
        <v>2278374</v>
      </c>
      <c r="K80" s="21">
        <v>2314658</v>
      </c>
      <c r="L80" s="21">
        <v>2326908</v>
      </c>
      <c r="M80" s="21">
        <v>2336584</v>
      </c>
      <c r="N80" s="21">
        <v>2402901</v>
      </c>
      <c r="O80" s="25">
        <v>2472828</v>
      </c>
      <c r="P80" s="21">
        <v>2543912</v>
      </c>
      <c r="Q80" s="21">
        <v>2617215</v>
      </c>
      <c r="R80" s="21">
        <v>2655419</v>
      </c>
      <c r="S80" s="25">
        <v>2658116</v>
      </c>
      <c r="T80" s="21">
        <v>2793569</v>
      </c>
      <c r="U80" s="21">
        <v>2808942</v>
      </c>
      <c r="V80" s="21">
        <v>2862637</v>
      </c>
      <c r="W80" s="25">
        <v>2925999</v>
      </c>
      <c r="X80" s="75"/>
    </row>
    <row r="81" spans="1:24">
      <c r="B81" s="45" t="s">
        <v>55</v>
      </c>
      <c r="D81" s="21">
        <v>279627</v>
      </c>
      <c r="E81" s="21">
        <v>251327</v>
      </c>
      <c r="F81" s="21">
        <v>251327</v>
      </c>
      <c r="G81" s="25">
        <v>280995</v>
      </c>
      <c r="H81" s="21">
        <v>22654</v>
      </c>
      <c r="I81" s="21">
        <v>242424</v>
      </c>
      <c r="J81" s="21">
        <v>260031</v>
      </c>
      <c r="K81" s="21">
        <v>29427</v>
      </c>
      <c r="L81" s="21">
        <v>272826</v>
      </c>
      <c r="M81" s="21">
        <v>290538</v>
      </c>
      <c r="N81" s="21">
        <v>292203</v>
      </c>
      <c r="O81" s="25">
        <v>318367</v>
      </c>
      <c r="P81" s="21">
        <v>321803</v>
      </c>
      <c r="Q81" s="21">
        <v>312299</v>
      </c>
      <c r="R81" s="21">
        <v>332573</v>
      </c>
      <c r="S81" s="25">
        <v>303336</v>
      </c>
      <c r="T81" s="21">
        <v>340722</v>
      </c>
      <c r="U81" s="21">
        <v>345852</v>
      </c>
      <c r="V81" s="21">
        <v>346977</v>
      </c>
      <c r="W81" s="25">
        <v>361462</v>
      </c>
      <c r="X81" s="75"/>
    </row>
    <row r="82" spans="1:24" ht="17">
      <c r="A82" s="76">
        <v>14</v>
      </c>
      <c r="B82" s="50" t="s">
        <v>131</v>
      </c>
      <c r="C82" s="50" t="s">
        <v>132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75"/>
    </row>
    <row r="83" spans="1:24">
      <c r="B83" s="45" t="s">
        <v>58</v>
      </c>
      <c r="D83" s="21">
        <v>206321823241</v>
      </c>
      <c r="E83" s="21">
        <v>213141085630</v>
      </c>
      <c r="F83" s="21">
        <v>238680607900</v>
      </c>
      <c r="G83" s="25">
        <v>250724734274</v>
      </c>
      <c r="H83" s="21">
        <v>254329647925</v>
      </c>
      <c r="I83" s="21">
        <v>253976181505</v>
      </c>
      <c r="J83" s="21">
        <v>242804929756</v>
      </c>
      <c r="K83" s="21">
        <v>235891593162</v>
      </c>
      <c r="L83" s="21">
        <v>250016137446</v>
      </c>
      <c r="M83" s="21">
        <v>253917958072</v>
      </c>
      <c r="N83" s="21">
        <v>233379983460</v>
      </c>
      <c r="O83" s="25">
        <v>160631354635</v>
      </c>
      <c r="P83" s="21">
        <v>182319671706</v>
      </c>
      <c r="Q83" s="21">
        <v>182319671706</v>
      </c>
      <c r="R83" s="21">
        <v>209743386551</v>
      </c>
      <c r="S83" s="25">
        <v>184868320603</v>
      </c>
      <c r="T83" s="21">
        <v>209727816065</v>
      </c>
      <c r="U83" s="21">
        <v>213561736229</v>
      </c>
      <c r="V83" s="21">
        <v>189650551690</v>
      </c>
      <c r="W83" s="25">
        <v>197897867066</v>
      </c>
      <c r="X83" s="75"/>
    </row>
    <row r="84" spans="1:24">
      <c r="B84" s="45" t="s">
        <v>59</v>
      </c>
      <c r="D84" s="21">
        <v>72862755529</v>
      </c>
      <c r="E84" s="21">
        <v>82459403277</v>
      </c>
      <c r="F84" s="21">
        <v>89792208100</v>
      </c>
      <c r="G84" s="25">
        <v>105476752401</v>
      </c>
      <c r="H84" s="21">
        <v>105397220185</v>
      </c>
      <c r="I84" s="21">
        <v>101165757283</v>
      </c>
      <c r="J84" s="21">
        <v>92478704688</v>
      </c>
      <c r="K84" s="21">
        <v>94587795350</v>
      </c>
      <c r="L84" s="21">
        <v>110624791152</v>
      </c>
      <c r="M84" s="21">
        <v>110591576296</v>
      </c>
      <c r="N84" s="21">
        <v>116026966900</v>
      </c>
      <c r="O84" s="25">
        <v>121622353656</v>
      </c>
      <c r="P84" s="21">
        <v>146048252605</v>
      </c>
      <c r="Q84" s="21">
        <v>146048252605</v>
      </c>
      <c r="R84" s="21">
        <v>158441435660</v>
      </c>
      <c r="S84" s="25">
        <v>132445996835</v>
      </c>
      <c r="T84" s="21">
        <v>155067148137</v>
      </c>
      <c r="U84" s="21">
        <v>162047408216</v>
      </c>
      <c r="V84" s="21">
        <v>135277262868</v>
      </c>
      <c r="W84" s="25">
        <v>137927415531</v>
      </c>
      <c r="X84" s="75"/>
    </row>
    <row r="85" spans="1:24" ht="17">
      <c r="B85" s="50" t="s">
        <v>57</v>
      </c>
      <c r="C85" s="50"/>
      <c r="D85" s="2">
        <v>-6101883870</v>
      </c>
      <c r="E85" s="2">
        <v>-2615150888</v>
      </c>
      <c r="F85" s="2">
        <v>9558977036</v>
      </c>
      <c r="G85" s="2">
        <v>6379123638</v>
      </c>
      <c r="H85" s="2">
        <v>537084043</v>
      </c>
      <c r="I85" s="2">
        <v>495232055</v>
      </c>
      <c r="J85" s="2">
        <v>-2053373661</v>
      </c>
      <c r="K85" s="2">
        <v>1270134218</v>
      </c>
      <c r="L85" s="2">
        <v>-2692389411</v>
      </c>
      <c r="M85" s="2">
        <v>2985475382</v>
      </c>
      <c r="N85" s="2">
        <v>-26026829469</v>
      </c>
      <c r="O85" s="2">
        <v>-72477199795</v>
      </c>
      <c r="P85" s="2">
        <v>-1075360730</v>
      </c>
      <c r="Q85" s="2">
        <v>-3587850360</v>
      </c>
      <c r="R85" s="2">
        <v>6621288879</v>
      </c>
      <c r="S85" s="2">
        <v>-9487681368</v>
      </c>
      <c r="T85" s="2">
        <v>1495694751</v>
      </c>
      <c r="U85" s="2">
        <v>-3200098889</v>
      </c>
      <c r="V85" s="2">
        <v>1060430500</v>
      </c>
      <c r="W85" s="2">
        <v>6504366702</v>
      </c>
      <c r="X85" s="75"/>
    </row>
    <row r="86" spans="1:24">
      <c r="B86" s="45" t="s">
        <v>56</v>
      </c>
      <c r="D86" s="21">
        <v>476934047293</v>
      </c>
      <c r="E86" s="21">
        <v>481151834508</v>
      </c>
      <c r="F86" s="21">
        <v>505103422703</v>
      </c>
      <c r="G86" s="25">
        <v>521493784876</v>
      </c>
      <c r="H86" s="21">
        <v>521616419233</v>
      </c>
      <c r="I86" s="21">
        <v>517640079044</v>
      </c>
      <c r="J86" s="21">
        <v>504628114477</v>
      </c>
      <c r="K86" s="21">
        <v>498020612974</v>
      </c>
      <c r="L86" s="21">
        <v>511314491032</v>
      </c>
      <c r="M86" s="21">
        <v>513366919064</v>
      </c>
      <c r="N86" s="21">
        <v>490656148698</v>
      </c>
      <c r="O86" s="25">
        <v>492697209711</v>
      </c>
      <c r="P86" s="21">
        <v>509920086466</v>
      </c>
      <c r="Q86" s="21">
        <v>509920086466</v>
      </c>
      <c r="R86" s="21">
        <v>529233203286</v>
      </c>
      <c r="S86" s="25">
        <v>492056440058</v>
      </c>
      <c r="T86" s="21">
        <v>513374798887</v>
      </c>
      <c r="U86" s="21">
        <v>514902026971</v>
      </c>
      <c r="V86" s="21">
        <v>489312785824</v>
      </c>
      <c r="W86" s="25">
        <v>445283742713</v>
      </c>
      <c r="X86" s="75"/>
    </row>
    <row r="87" spans="1:24">
      <c r="B87" s="45" t="s">
        <v>55</v>
      </c>
      <c r="D87" s="21">
        <v>94357353334</v>
      </c>
      <c r="E87" s="21">
        <v>103534855403</v>
      </c>
      <c r="F87" s="21">
        <v>119453102597</v>
      </c>
      <c r="G87" s="25">
        <v>131822380207</v>
      </c>
      <c r="H87" s="21">
        <v>131407930520</v>
      </c>
      <c r="I87" s="21">
        <v>126497058274</v>
      </c>
      <c r="J87" s="21">
        <v>116488467371</v>
      </c>
      <c r="K87" s="21">
        <v>112663245901</v>
      </c>
      <c r="L87" s="21">
        <v>128649513370</v>
      </c>
      <c r="M87" s="21">
        <v>128465491020</v>
      </c>
      <c r="N87" s="21">
        <v>131781550123</v>
      </c>
      <c r="O87" s="25">
        <v>143182746626</v>
      </c>
      <c r="P87" s="21">
        <v>166172608870</v>
      </c>
      <c r="Q87" s="21">
        <v>166172608870</v>
      </c>
      <c r="R87" s="21">
        <v>178760662411</v>
      </c>
      <c r="S87" s="25">
        <v>151998653563</v>
      </c>
      <c r="T87" s="21">
        <v>173943779348</v>
      </c>
      <c r="U87" s="21">
        <v>180094912624</v>
      </c>
      <c r="V87" s="21">
        <v>153445241023</v>
      </c>
      <c r="W87" s="25">
        <v>153217515536</v>
      </c>
      <c r="X87" s="75"/>
    </row>
    <row r="88" spans="1:24" ht="17">
      <c r="A88" s="76">
        <v>15</v>
      </c>
      <c r="B88" s="50" t="s">
        <v>107</v>
      </c>
      <c r="C88" s="50" t="s">
        <v>135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75"/>
    </row>
    <row r="89" spans="1:24">
      <c r="B89" s="45" t="s">
        <v>58</v>
      </c>
      <c r="D89" s="21">
        <v>496482600921</v>
      </c>
      <c r="E89" s="21">
        <v>453099569388</v>
      </c>
      <c r="F89" s="21">
        <v>484746192698</v>
      </c>
      <c r="G89" s="25">
        <v>486522278448</v>
      </c>
      <c r="H89" s="21">
        <v>523047644670</v>
      </c>
      <c r="I89" s="21">
        <v>508323802566</v>
      </c>
      <c r="J89" s="21">
        <v>548366869805</v>
      </c>
      <c r="K89" s="21">
        <v>552493858098</v>
      </c>
      <c r="L89" s="21">
        <v>597195170077</v>
      </c>
      <c r="M89" s="21">
        <v>626158376573</v>
      </c>
      <c r="N89" s="21">
        <v>635436348887</v>
      </c>
      <c r="O89" s="25">
        <v>643773422158</v>
      </c>
      <c r="P89" s="21">
        <v>648023390063</v>
      </c>
      <c r="Q89" s="21">
        <v>671910620514</v>
      </c>
      <c r="R89" s="21">
        <v>653853380336</v>
      </c>
      <c r="S89" s="25">
        <v>669455042672</v>
      </c>
      <c r="T89" s="21">
        <v>687458905806</v>
      </c>
      <c r="U89" s="21">
        <v>684364400262</v>
      </c>
      <c r="V89" s="21">
        <v>577849257717</v>
      </c>
      <c r="W89" s="25">
        <v>715050204489</v>
      </c>
      <c r="X89" s="75"/>
    </row>
    <row r="90" spans="1:24">
      <c r="B90" s="45" t="s">
        <v>59</v>
      </c>
      <c r="D90" s="21">
        <v>91307382321</v>
      </c>
      <c r="E90" s="21">
        <v>64431146287</v>
      </c>
      <c r="F90" s="21">
        <v>69776670252</v>
      </c>
      <c r="G90" s="25">
        <v>70337529585</v>
      </c>
      <c r="H90" s="21">
        <v>72275648695</v>
      </c>
      <c r="I90" s="21">
        <v>43760830891</v>
      </c>
      <c r="J90" s="21">
        <v>76650401011</v>
      </c>
      <c r="K90" s="21">
        <v>68166758308</v>
      </c>
      <c r="L90" s="21">
        <v>76645116948</v>
      </c>
      <c r="M90" s="21">
        <v>78310344398</v>
      </c>
      <c r="N90" s="21">
        <v>88831562447</v>
      </c>
      <c r="O90" s="25">
        <v>82981081779</v>
      </c>
      <c r="P90" s="21">
        <v>58819625557</v>
      </c>
      <c r="Q90" s="21">
        <v>65349467353</v>
      </c>
      <c r="R90" s="21">
        <v>60136518624</v>
      </c>
      <c r="S90" s="25">
        <v>56947975527</v>
      </c>
      <c r="T90" s="21">
        <v>54318432778</v>
      </c>
      <c r="U90" s="21">
        <v>73445423668</v>
      </c>
      <c r="V90" s="21">
        <v>47199111533</v>
      </c>
      <c r="W90" s="25">
        <v>50331125991</v>
      </c>
      <c r="X90" s="75"/>
    </row>
    <row r="91" spans="1:24" ht="17">
      <c r="B91" s="50" t="s">
        <v>57</v>
      </c>
      <c r="C91" s="50"/>
      <c r="D91" s="2">
        <v>29906895245</v>
      </c>
      <c r="E91" s="2">
        <v>11231061974</v>
      </c>
      <c r="F91" s="2">
        <v>34117992549</v>
      </c>
      <c r="G91" s="2">
        <v>2146622784</v>
      </c>
      <c r="H91" s="2">
        <v>30855634078</v>
      </c>
      <c r="I91" s="2">
        <v>16916104886</v>
      </c>
      <c r="J91" s="2">
        <v>26148095509</v>
      </c>
      <c r="K91" s="2">
        <v>22009236341</v>
      </c>
      <c r="L91" s="2">
        <v>31916817435</v>
      </c>
      <c r="M91" s="2">
        <v>25301549646</v>
      </c>
      <c r="N91" s="2">
        <v>27463653265</v>
      </c>
      <c r="O91" s="2">
        <v>23808457008</v>
      </c>
      <c r="P91" s="2">
        <v>29322871339</v>
      </c>
      <c r="Q91" s="2">
        <v>18207749835</v>
      </c>
      <c r="R91" s="2">
        <v>20031343328</v>
      </c>
      <c r="S91" s="2">
        <v>10517828768</v>
      </c>
      <c r="T91" s="2">
        <v>22713538029</v>
      </c>
      <c r="U91" s="2">
        <v>12610926266</v>
      </c>
      <c r="V91" s="2">
        <v>21964854407</v>
      </c>
      <c r="W91" s="2">
        <v>16777343742</v>
      </c>
      <c r="X91" s="75"/>
    </row>
    <row r="92" spans="1:24">
      <c r="B92" s="45" t="s">
        <v>56</v>
      </c>
      <c r="D92" s="21">
        <v>886298555754</v>
      </c>
      <c r="E92" s="21">
        <v>848703528676</v>
      </c>
      <c r="F92" s="21">
        <v>882485153683</v>
      </c>
      <c r="G92" s="25">
        <v>968234349565</v>
      </c>
      <c r="H92" s="21">
        <v>1012994916814</v>
      </c>
      <c r="I92" s="21">
        <v>983508727498</v>
      </c>
      <c r="J92" s="21">
        <v>1024721671904</v>
      </c>
      <c r="K92" s="21">
        <v>1081979820386</v>
      </c>
      <c r="L92" s="21">
        <v>1125047993083</v>
      </c>
      <c r="M92" s="21">
        <v>1149500117124</v>
      </c>
      <c r="N92" s="21">
        <v>1152434413074</v>
      </c>
      <c r="O92" s="25">
        <v>1165564745263</v>
      </c>
      <c r="P92" s="21">
        <v>1172847657676</v>
      </c>
      <c r="Q92" s="21">
        <v>1195749290483</v>
      </c>
      <c r="R92" s="21">
        <v>1165642963584</v>
      </c>
      <c r="S92" s="25">
        <v>1221291885832</v>
      </c>
      <c r="T92" s="21">
        <v>1231845983063</v>
      </c>
      <c r="U92" s="21">
        <v>1223192026177</v>
      </c>
      <c r="V92" s="21">
        <v>1222106387616</v>
      </c>
      <c r="W92" s="25">
        <v>1247265694706</v>
      </c>
      <c r="X92" s="75"/>
    </row>
    <row r="93" spans="1:24" s="53" customFormat="1" ht="17" thickBot="1">
      <c r="A93" s="77"/>
      <c r="B93" s="53" t="s">
        <v>55</v>
      </c>
      <c r="D93" s="31">
        <v>126878010140</v>
      </c>
      <c r="E93" s="31">
        <v>103625696044</v>
      </c>
      <c r="F93" s="31">
        <v>106843559793</v>
      </c>
      <c r="G93" s="32">
        <v>115690798743</v>
      </c>
      <c r="H93" s="31">
        <v>117022911777</v>
      </c>
      <c r="I93" s="31">
        <v>85794318003</v>
      </c>
      <c r="J93" s="31">
        <v>118354255169</v>
      </c>
      <c r="K93" s="31">
        <v>129617262724</v>
      </c>
      <c r="L93" s="31">
        <v>137843221040</v>
      </c>
      <c r="M93" s="31">
        <v>138053125643</v>
      </c>
      <c r="N93" s="31">
        <v>148618818519</v>
      </c>
      <c r="O93" s="32">
        <v>135165299199</v>
      </c>
      <c r="P93" s="31">
        <v>110611723901</v>
      </c>
      <c r="Q93" s="31">
        <v>116509411027</v>
      </c>
      <c r="R93" s="31">
        <v>109549017285</v>
      </c>
      <c r="S93" s="32">
        <v>108448241205</v>
      </c>
      <c r="T93" s="31">
        <v>103840909793</v>
      </c>
      <c r="U93" s="31">
        <v>122085918566</v>
      </c>
      <c r="V93" s="31">
        <v>95333440289</v>
      </c>
      <c r="W93" s="32">
        <v>99504675598</v>
      </c>
      <c r="X93" s="31"/>
    </row>
    <row r="94" spans="1:24" ht="17">
      <c r="A94" s="76">
        <v>1</v>
      </c>
      <c r="B94" s="51" t="s">
        <v>138</v>
      </c>
      <c r="C94" s="51" t="s">
        <v>139</v>
      </c>
      <c r="D94" s="21" t="s">
        <v>140</v>
      </c>
      <c r="E94" s="1">
        <v>2019</v>
      </c>
      <c r="F94" s="1"/>
      <c r="G94" s="26"/>
      <c r="H94" s="1"/>
      <c r="I94" s="1">
        <v>2020</v>
      </c>
      <c r="J94" s="1"/>
      <c r="K94" s="1"/>
      <c r="L94" s="1"/>
      <c r="M94" s="1">
        <v>2021</v>
      </c>
      <c r="N94" s="1"/>
      <c r="O94" s="26"/>
      <c r="P94" s="1"/>
      <c r="Q94" s="1">
        <v>2022</v>
      </c>
      <c r="R94" s="1"/>
      <c r="S94" s="26"/>
      <c r="T94" s="1"/>
      <c r="U94" s="1">
        <v>2023</v>
      </c>
      <c r="V94" s="1"/>
      <c r="W94" s="26"/>
      <c r="X94" s="79"/>
    </row>
    <row r="95" spans="1:24">
      <c r="B95" s="45" t="s">
        <v>58</v>
      </c>
      <c r="D95" s="21">
        <v>142441185180</v>
      </c>
      <c r="E95" s="33">
        <v>137697266158</v>
      </c>
      <c r="F95" s="21">
        <v>187318840286</v>
      </c>
      <c r="G95" s="25">
        <v>266253331928</v>
      </c>
      <c r="H95" s="33">
        <v>306716957106</v>
      </c>
      <c r="I95" s="1">
        <v>210620188984</v>
      </c>
      <c r="J95" s="1">
        <v>159640249156</v>
      </c>
      <c r="K95" s="1">
        <v>160161773102</v>
      </c>
      <c r="L95" s="33">
        <v>129151338478</v>
      </c>
      <c r="M95" s="1">
        <v>101165675365</v>
      </c>
      <c r="N95" s="1">
        <v>99030975939</v>
      </c>
      <c r="O95" s="1">
        <v>95357000685</v>
      </c>
      <c r="P95" s="1">
        <v>137638370951</v>
      </c>
      <c r="Q95" s="1">
        <v>190267073752</v>
      </c>
      <c r="R95" s="1">
        <v>290075374839</v>
      </c>
      <c r="S95" s="1">
        <v>343828016239</v>
      </c>
      <c r="T95" s="1">
        <v>298637575058</v>
      </c>
      <c r="U95" s="1">
        <v>295177106485</v>
      </c>
      <c r="V95" s="1">
        <v>244021873300</v>
      </c>
      <c r="W95" s="1">
        <v>255247878538</v>
      </c>
      <c r="X95" s="1"/>
    </row>
    <row r="96" spans="1:24">
      <c r="B96" s="45" t="s">
        <v>59</v>
      </c>
      <c r="D96" s="21">
        <v>182305711934</v>
      </c>
      <c r="E96" s="33">
        <v>175960931600</v>
      </c>
      <c r="F96" s="21">
        <v>226946986513</v>
      </c>
      <c r="G96" s="25">
        <v>244283093339</v>
      </c>
      <c r="H96" s="33">
        <v>211982893065</v>
      </c>
      <c r="I96" s="1">
        <v>185401572629</v>
      </c>
      <c r="J96" s="1">
        <v>131011809080</v>
      </c>
      <c r="K96" s="1">
        <v>182944973111</v>
      </c>
      <c r="L96" s="33">
        <v>223507975633</v>
      </c>
      <c r="M96" s="1">
        <v>226626476067</v>
      </c>
      <c r="N96" s="1">
        <v>234435108672</v>
      </c>
      <c r="O96" s="1">
        <v>221333270800</v>
      </c>
      <c r="P96" s="1">
        <v>234312236192</v>
      </c>
      <c r="Q96" s="1">
        <v>257386277403</v>
      </c>
      <c r="R96" s="1">
        <v>280030982670</v>
      </c>
      <c r="S96" s="1">
        <v>249790563886</v>
      </c>
      <c r="T96" s="1">
        <v>349739377160</v>
      </c>
      <c r="U96" s="1">
        <v>254594461069</v>
      </c>
      <c r="V96" s="1">
        <v>389262636540</v>
      </c>
      <c r="W96" s="1">
        <v>440509412999</v>
      </c>
      <c r="X96" s="1"/>
    </row>
    <row r="97" spans="1:25" ht="17">
      <c r="B97" s="50" t="s">
        <v>57</v>
      </c>
      <c r="C97" s="50"/>
      <c r="D97" s="230">
        <v>5575351411</v>
      </c>
      <c r="E97" s="231">
        <v>12597836970</v>
      </c>
      <c r="F97" s="1">
        <v>-889667097</v>
      </c>
      <c r="G97" s="1">
        <v>-9911350267</v>
      </c>
      <c r="H97" s="232">
        <v>950315402</v>
      </c>
      <c r="I97" s="2">
        <v>-21026024949</v>
      </c>
      <c r="J97" s="2">
        <v>3496099468</v>
      </c>
      <c r="K97" s="2">
        <v>-34053960604</v>
      </c>
      <c r="L97" s="2">
        <v>-54704804228</v>
      </c>
      <c r="M97" s="2">
        <v>-35083847727</v>
      </c>
      <c r="N97" s="2">
        <v>-23675137868</v>
      </c>
      <c r="O97" s="2">
        <v>-50409919805</v>
      </c>
      <c r="P97" s="2">
        <v>-56195667441</v>
      </c>
      <c r="Q97" s="2">
        <v>3500321115</v>
      </c>
      <c r="R97" s="2">
        <v>16488637376</v>
      </c>
      <c r="S97" s="2">
        <v>73807995109</v>
      </c>
      <c r="T97" s="2">
        <v>-54768900061</v>
      </c>
      <c r="U97" s="2">
        <v>-36636686933</v>
      </c>
      <c r="V97" s="2">
        <v>-37457232348</v>
      </c>
      <c r="W97" s="2">
        <v>-53261846822</v>
      </c>
      <c r="X97" s="1"/>
    </row>
    <row r="98" spans="1:25">
      <c r="B98" s="45" t="s">
        <v>56</v>
      </c>
      <c r="D98" s="21">
        <v>536867715737</v>
      </c>
      <c r="E98" s="33">
        <v>552328250797</v>
      </c>
      <c r="F98" s="21">
        <v>741944725387</v>
      </c>
      <c r="G98" s="25">
        <v>823396043422</v>
      </c>
      <c r="H98" s="33">
        <v>871638982195</v>
      </c>
      <c r="I98" s="1">
        <v>775727259790</v>
      </c>
      <c r="J98" s="1">
        <v>720320117030</v>
      </c>
      <c r="K98" s="1">
        <v>737232440776</v>
      </c>
      <c r="L98" s="33">
        <v>699274548775</v>
      </c>
      <c r="M98" s="1">
        <v>666498903960</v>
      </c>
      <c r="N98" s="1">
        <v>623266947504</v>
      </c>
      <c r="O98" s="1">
        <v>550257862701</v>
      </c>
      <c r="P98" s="1">
        <v>523526081797</v>
      </c>
      <c r="Q98" s="1">
        <v>576465204738</v>
      </c>
      <c r="R98" s="1">
        <v>674116156844</v>
      </c>
      <c r="S98" s="1">
        <v>724711904282</v>
      </c>
      <c r="T98" s="1">
        <v>699108216871</v>
      </c>
      <c r="U98" s="1">
        <v>687441149496</v>
      </c>
      <c r="V98" s="1">
        <v>627670887778</v>
      </c>
      <c r="W98" s="1">
        <v>630571323932</v>
      </c>
      <c r="X98" s="1"/>
    </row>
    <row r="99" spans="1:25">
      <c r="B99" s="45" t="s">
        <v>55</v>
      </c>
      <c r="D99" s="21">
        <v>345989440969</v>
      </c>
      <c r="E99" s="33">
        <v>348852139059</v>
      </c>
      <c r="F99" s="21">
        <v>539258280746</v>
      </c>
      <c r="G99" s="25">
        <v>630720948958</v>
      </c>
      <c r="H99" s="33">
        <v>678262661673</v>
      </c>
      <c r="I99" s="1">
        <v>603376964217</v>
      </c>
      <c r="J99" s="1">
        <v>544473721989</v>
      </c>
      <c r="K99" s="1">
        <v>595440006339</v>
      </c>
      <c r="L99" s="33">
        <v>611899459706</v>
      </c>
      <c r="M99" s="1">
        <v>614207662618</v>
      </c>
      <c r="N99" s="1">
        <v>594650844030</v>
      </c>
      <c r="O99" s="1">
        <v>572051679032</v>
      </c>
      <c r="P99" s="1">
        <v>601540344656</v>
      </c>
      <c r="Q99" s="1">
        <v>650979146482</v>
      </c>
      <c r="R99" s="1">
        <v>732141461212</v>
      </c>
      <c r="S99" s="1">
        <v>708929213541</v>
      </c>
      <c r="T99" s="1">
        <v>738491466471</v>
      </c>
      <c r="U99" s="1">
        <v>763461086029</v>
      </c>
      <c r="V99" s="1">
        <v>741148056659</v>
      </c>
      <c r="W99" s="1">
        <v>797310339634</v>
      </c>
      <c r="X99" s="1"/>
    </row>
    <row r="100" spans="1:25" ht="17">
      <c r="A100" s="76">
        <v>2</v>
      </c>
      <c r="B100" s="50" t="s">
        <v>143</v>
      </c>
      <c r="C100" s="50" t="s">
        <v>142</v>
      </c>
      <c r="D100" s="21" t="s">
        <v>141</v>
      </c>
      <c r="E100" s="1"/>
      <c r="F100" s="1">
        <v>2019</v>
      </c>
      <c r="G100" s="26"/>
      <c r="H100" s="21"/>
      <c r="I100" s="1"/>
      <c r="J100" s="1">
        <v>2020</v>
      </c>
      <c r="K100" s="26"/>
      <c r="L100" s="21"/>
      <c r="M100" s="1"/>
      <c r="N100" s="1">
        <v>2021</v>
      </c>
      <c r="O100" s="26"/>
      <c r="P100" s="21"/>
      <c r="Q100" s="1"/>
      <c r="R100" s="1">
        <v>2022</v>
      </c>
      <c r="S100" s="26"/>
      <c r="T100" s="1"/>
      <c r="U100" s="1"/>
      <c r="V100" s="1">
        <v>2023</v>
      </c>
      <c r="W100" s="26"/>
      <c r="X100" s="79"/>
      <c r="Y100" s="52"/>
    </row>
    <row r="101" spans="1:25">
      <c r="B101" s="45" t="s">
        <v>58</v>
      </c>
      <c r="D101" s="1">
        <v>25517426884</v>
      </c>
      <c r="E101" s="1">
        <v>18460713565</v>
      </c>
      <c r="F101" s="1">
        <v>39498652012</v>
      </c>
      <c r="G101" s="1">
        <v>41790799993</v>
      </c>
      <c r="H101" s="1">
        <v>72291215343</v>
      </c>
      <c r="I101" s="1">
        <v>55624357918</v>
      </c>
      <c r="J101" s="1">
        <v>39498652013</v>
      </c>
      <c r="K101" s="1">
        <v>41790799994</v>
      </c>
      <c r="L101" s="1">
        <v>46373554853</v>
      </c>
      <c r="M101" s="1">
        <v>28489487729</v>
      </c>
      <c r="N101" s="1">
        <v>28913505256</v>
      </c>
      <c r="O101" s="1">
        <v>28170289747</v>
      </c>
      <c r="P101" s="1">
        <v>26283624950</v>
      </c>
      <c r="Q101" s="1">
        <v>71988388309</v>
      </c>
      <c r="R101" s="1">
        <v>80995061005</v>
      </c>
      <c r="S101" s="1">
        <v>61845857265</v>
      </c>
      <c r="T101" s="1">
        <v>62899334867</v>
      </c>
      <c r="U101" s="1">
        <v>62758042507</v>
      </c>
      <c r="V101" s="1">
        <v>62873599151</v>
      </c>
      <c r="W101" s="1">
        <v>63037032821</v>
      </c>
      <c r="X101" s="1"/>
    </row>
    <row r="102" spans="1:25">
      <c r="B102" s="45" t="s">
        <v>59</v>
      </c>
      <c r="D102" s="1">
        <v>334593856520</v>
      </c>
      <c r="E102" s="1">
        <v>864335838686</v>
      </c>
      <c r="F102" s="1">
        <v>1025555084446</v>
      </c>
      <c r="G102" s="1">
        <v>984403641322</v>
      </c>
      <c r="H102" s="1">
        <v>982841036277</v>
      </c>
      <c r="I102" s="1">
        <v>967643373509</v>
      </c>
      <c r="J102" s="1">
        <v>1025555084447</v>
      </c>
      <c r="K102" s="1">
        <v>984403641323</v>
      </c>
      <c r="L102" s="1">
        <v>1008478341515</v>
      </c>
      <c r="M102" s="1">
        <v>289613552551</v>
      </c>
      <c r="N102" s="1">
        <v>294424396929</v>
      </c>
      <c r="O102" s="1">
        <v>302632911519</v>
      </c>
      <c r="P102" s="1">
        <v>308270682356</v>
      </c>
      <c r="Q102" s="1">
        <v>360301823759</v>
      </c>
      <c r="R102" s="1">
        <v>391252616562</v>
      </c>
      <c r="S102" s="1">
        <v>398007885959</v>
      </c>
      <c r="T102" s="1">
        <v>439383619754</v>
      </c>
      <c r="U102" s="1">
        <v>451219917309</v>
      </c>
      <c r="V102" s="1">
        <v>467540225823</v>
      </c>
      <c r="W102" s="1">
        <v>467944950306</v>
      </c>
      <c r="X102" s="1"/>
    </row>
    <row r="103" spans="1:25" ht="17">
      <c r="B103" s="50" t="s">
        <v>57</v>
      </c>
      <c r="C103" s="50"/>
      <c r="D103" s="234">
        <v>-41289575001</v>
      </c>
      <c r="E103" s="234">
        <v>-41289575001</v>
      </c>
      <c r="F103" s="2">
        <v>-22339008135</v>
      </c>
      <c r="G103" s="2">
        <v>-32079638260</v>
      </c>
      <c r="H103" s="2">
        <v>-25582710461</v>
      </c>
      <c r="I103" s="2">
        <v>-9754714350</v>
      </c>
      <c r="J103" s="2">
        <v>-102006277677</v>
      </c>
      <c r="K103" s="2">
        <v>44910488369</v>
      </c>
      <c r="L103" s="2">
        <v>-29845972200</v>
      </c>
      <c r="M103" s="2">
        <v>159594544571</v>
      </c>
      <c r="N103" s="2">
        <v>-13202336002</v>
      </c>
      <c r="O103" s="2">
        <v>-14877906701</v>
      </c>
      <c r="P103" s="2">
        <v>-27103509353</v>
      </c>
      <c r="Q103" s="2">
        <v>-69429611619</v>
      </c>
      <c r="R103" s="2">
        <v>-28057161626</v>
      </c>
      <c r="S103" s="2">
        <v>-32451955553</v>
      </c>
      <c r="T103" s="2">
        <v>-178121584504</v>
      </c>
      <c r="U103" s="2">
        <v>-44143915360</v>
      </c>
      <c r="V103" s="2">
        <v>-7589621112</v>
      </c>
      <c r="W103" s="2">
        <v>-6973929597</v>
      </c>
      <c r="X103" s="1"/>
    </row>
    <row r="104" spans="1:25">
      <c r="B104" s="45" t="s">
        <v>56</v>
      </c>
      <c r="D104" s="1">
        <v>1069816388174</v>
      </c>
      <c r="E104" s="1">
        <v>1090658578996</v>
      </c>
      <c r="F104" s="1">
        <v>1096880945961</v>
      </c>
      <c r="G104" s="1">
        <v>1092881736471</v>
      </c>
      <c r="H104" s="1">
        <v>1127684375028</v>
      </c>
      <c r="I104" s="1">
        <v>1123468024853</v>
      </c>
      <c r="J104" s="1">
        <v>1096880945962</v>
      </c>
      <c r="K104" s="1">
        <v>1092881736472</v>
      </c>
      <c r="L104" s="1">
        <v>1091179327838</v>
      </c>
      <c r="M104" s="1">
        <v>1055671083056</v>
      </c>
      <c r="N104" s="1">
        <v>1052303978585</v>
      </c>
      <c r="O104" s="1">
        <v>1046566175374</v>
      </c>
      <c r="P104" s="1">
        <v>1025816524933</v>
      </c>
      <c r="Q104" s="1">
        <v>1053555048668</v>
      </c>
      <c r="R104" s="1">
        <v>1056448679845</v>
      </c>
      <c r="S104" s="1">
        <v>1030751993689</v>
      </c>
      <c r="T104" s="1">
        <v>899699528242</v>
      </c>
      <c r="U104" s="1">
        <v>895204452940</v>
      </c>
      <c r="V104" s="1">
        <v>891096468350</v>
      </c>
      <c r="W104" s="1">
        <v>887037626788</v>
      </c>
      <c r="X104" s="1"/>
    </row>
    <row r="105" spans="1:25">
      <c r="B105" s="45" t="s">
        <v>55</v>
      </c>
      <c r="D105" s="1">
        <v>1314989905980</v>
      </c>
      <c r="E105" s="1">
        <v>1349487510141</v>
      </c>
      <c r="F105" s="1">
        <v>1544858097192</v>
      </c>
      <c r="G105" s="1">
        <v>1495948399333</v>
      </c>
      <c r="H105" s="1">
        <v>1466514663029</v>
      </c>
      <c r="I105" s="1">
        <v>1469796558565</v>
      </c>
      <c r="J105" s="1">
        <v>1544858097193</v>
      </c>
      <c r="K105" s="1">
        <v>1495948399334</v>
      </c>
      <c r="L105" s="1">
        <v>1524091962900</v>
      </c>
      <c r="M105" s="1">
        <v>1323840658770</v>
      </c>
      <c r="N105" s="1">
        <v>1333675890301</v>
      </c>
      <c r="O105" s="1">
        <v>1342815993791</v>
      </c>
      <c r="P105" s="1">
        <v>1349006190466</v>
      </c>
      <c r="Q105" s="1">
        <v>1168371468945</v>
      </c>
      <c r="R105" s="1">
        <v>1199322261748</v>
      </c>
      <c r="S105" s="1">
        <v>1206077531145</v>
      </c>
      <c r="T105" s="1">
        <v>1253802259653</v>
      </c>
      <c r="U105" s="1">
        <v>1293268807314</v>
      </c>
      <c r="V105" s="1">
        <v>1296750443836</v>
      </c>
      <c r="W105" s="1">
        <v>1299665531871</v>
      </c>
      <c r="X105" s="1"/>
    </row>
    <row r="106" spans="1:25" ht="17">
      <c r="A106" s="76">
        <v>3</v>
      </c>
      <c r="B106" s="50" t="s">
        <v>144</v>
      </c>
      <c r="C106" s="50" t="s">
        <v>222</v>
      </c>
      <c r="D106" s="1">
        <v>2015</v>
      </c>
      <c r="E106" s="1"/>
      <c r="F106" s="1"/>
      <c r="G106" s="26"/>
      <c r="H106" s="1">
        <v>2016</v>
      </c>
      <c r="I106" s="1"/>
      <c r="J106" s="1"/>
      <c r="K106" s="26"/>
      <c r="L106" s="1">
        <v>2017</v>
      </c>
      <c r="M106" s="1"/>
      <c r="N106" s="1"/>
      <c r="O106" s="26"/>
      <c r="P106" s="1">
        <v>2018</v>
      </c>
      <c r="Q106" s="1"/>
      <c r="R106" s="1"/>
      <c r="S106" s="26"/>
      <c r="T106" s="1">
        <v>2019</v>
      </c>
      <c r="U106" s="1"/>
      <c r="V106" s="1"/>
      <c r="W106" s="26"/>
      <c r="X106" s="79"/>
    </row>
    <row r="107" spans="1:25">
      <c r="B107" s="45" t="s">
        <v>58</v>
      </c>
      <c r="D107" s="1">
        <v>280678579105</v>
      </c>
      <c r="E107" s="1">
        <v>468256972666</v>
      </c>
      <c r="F107" s="1">
        <v>5197310742795</v>
      </c>
      <c r="G107" s="1">
        <v>583413951262</v>
      </c>
      <c r="H107" s="1">
        <v>587707361737</v>
      </c>
      <c r="I107" s="1">
        <v>707470884552</v>
      </c>
      <c r="J107" s="1">
        <v>715073115702</v>
      </c>
      <c r="K107" s="1">
        <v>590606427695</v>
      </c>
      <c r="L107" s="1">
        <v>607040463234</v>
      </c>
      <c r="M107" s="1">
        <v>623788010754</v>
      </c>
      <c r="N107" s="1">
        <v>639598051481</v>
      </c>
      <c r="O107" s="1">
        <v>742059936186</v>
      </c>
      <c r="P107" s="1">
        <v>692921906645</v>
      </c>
      <c r="Q107" s="1">
        <v>702722961583</v>
      </c>
      <c r="R107" s="1">
        <v>779136767564</v>
      </c>
      <c r="S107" s="25">
        <v>814338811685</v>
      </c>
      <c r="T107" s="21">
        <v>803203000000</v>
      </c>
      <c r="U107" s="1">
        <v>757035167589</v>
      </c>
      <c r="V107" s="1">
        <v>767743348151</v>
      </c>
      <c r="W107" s="25">
        <v>304368144117</v>
      </c>
      <c r="X107" s="75"/>
    </row>
    <row r="108" spans="1:25">
      <c r="B108" s="45" t="s">
        <v>59</v>
      </c>
      <c r="D108" s="1">
        <v>403600201788</v>
      </c>
      <c r="E108" s="1">
        <v>511455714374</v>
      </c>
      <c r="F108" s="1">
        <v>5103447309175</v>
      </c>
      <c r="G108" s="1">
        <v>575730150412</v>
      </c>
      <c r="H108" s="1">
        <v>444725931785</v>
      </c>
      <c r="I108" s="1">
        <v>434316236134</v>
      </c>
      <c r="J108" s="1">
        <v>575496770774</v>
      </c>
      <c r="K108" s="1">
        <v>373448368017</v>
      </c>
      <c r="L108" s="1">
        <v>424065460679</v>
      </c>
      <c r="M108" s="1">
        <v>458842789294</v>
      </c>
      <c r="N108" s="1">
        <v>513769764909</v>
      </c>
      <c r="O108" s="1">
        <v>864080034360</v>
      </c>
      <c r="P108" s="1">
        <v>801543991299</v>
      </c>
      <c r="Q108" s="1">
        <v>806656933580</v>
      </c>
      <c r="R108" s="1">
        <v>913815913160</v>
      </c>
      <c r="S108" s="25">
        <v>1103403629709</v>
      </c>
      <c r="T108" s="21">
        <v>1072799000000</v>
      </c>
      <c r="U108" s="1">
        <v>550315867959</v>
      </c>
      <c r="V108" s="1">
        <v>549035775720</v>
      </c>
      <c r="W108" s="25">
        <v>2194110765080</v>
      </c>
      <c r="X108" s="75"/>
    </row>
    <row r="109" spans="1:25" ht="17">
      <c r="B109" s="50" t="s">
        <v>57</v>
      </c>
      <c r="C109" s="50"/>
      <c r="D109" s="235">
        <v>-63349498104</v>
      </c>
      <c r="E109" s="236">
        <v>-56445124160</v>
      </c>
      <c r="F109" s="236">
        <v>-139899466278</v>
      </c>
      <c r="G109" s="237">
        <v>81001901818</v>
      </c>
      <c r="H109" s="235">
        <v>42154146531</v>
      </c>
      <c r="I109" s="236">
        <v>9329662413</v>
      </c>
      <c r="J109" s="236">
        <v>-14412105197</v>
      </c>
      <c r="K109" s="237">
        <v>-60523038707</v>
      </c>
      <c r="L109" s="236">
        <v>1574912760</v>
      </c>
      <c r="M109" s="236">
        <v>-79828529</v>
      </c>
      <c r="N109" s="236">
        <v>-25357392607</v>
      </c>
      <c r="O109" s="20">
        <v>-45170900492</v>
      </c>
      <c r="P109" s="236">
        <v>-35945939515</v>
      </c>
      <c r="Q109" s="236">
        <v>-74117979014</v>
      </c>
      <c r="R109" s="236">
        <v>-95186217873</v>
      </c>
      <c r="S109" s="20">
        <v>-19283291057</v>
      </c>
      <c r="T109" s="21">
        <v>-4849230041</v>
      </c>
      <c r="U109" s="235">
        <v>-4849230041</v>
      </c>
      <c r="V109" s="19">
        <v>-16189144108</v>
      </c>
      <c r="W109" s="25">
        <v>-16189144108</v>
      </c>
      <c r="X109" s="75"/>
    </row>
    <row r="110" spans="1:25">
      <c r="B110" s="45" t="s">
        <v>56</v>
      </c>
      <c r="D110" s="1">
        <v>3585894057928</v>
      </c>
      <c r="E110" s="34">
        <v>3663895280700</v>
      </c>
      <c r="F110" s="34">
        <v>3769178252600</v>
      </c>
      <c r="G110" s="33">
        <v>3540585749217</v>
      </c>
      <c r="H110" s="33">
        <v>3493547033627</v>
      </c>
      <c r="I110" s="1">
        <v>3638952891107</v>
      </c>
      <c r="J110" s="1">
        <v>3640882833534</v>
      </c>
      <c r="K110" s="1">
        <v>3493055380115</v>
      </c>
      <c r="L110" s="1">
        <v>3506984896344</v>
      </c>
      <c r="M110" s="1">
        <v>3525358860626</v>
      </c>
      <c r="N110" s="1">
        <v>3550441410050</v>
      </c>
      <c r="O110" s="1">
        <v>3578766164667</v>
      </c>
      <c r="P110" s="1">
        <v>3507893641844</v>
      </c>
      <c r="Q110" s="1">
        <v>3490948672446</v>
      </c>
      <c r="R110" s="1">
        <v>3572966237438</v>
      </c>
      <c r="S110" s="25">
        <v>3733012257460</v>
      </c>
      <c r="T110" s="21">
        <v>3713876000000</v>
      </c>
      <c r="U110" s="33">
        <v>3671918246834</v>
      </c>
      <c r="V110" s="1">
        <v>3660964183069</v>
      </c>
      <c r="W110" s="25">
        <v>2550516100811</v>
      </c>
      <c r="X110" s="75"/>
    </row>
    <row r="111" spans="1:25">
      <c r="B111" s="45" t="s">
        <v>55</v>
      </c>
      <c r="D111" s="1">
        <v>2301256951925</v>
      </c>
      <c r="E111" s="34">
        <v>2435703298900</v>
      </c>
      <c r="F111" s="1">
        <v>2680885737100</v>
      </c>
      <c r="G111" s="33">
        <v>2366446562423</v>
      </c>
      <c r="H111" s="1">
        <v>2277243700302</v>
      </c>
      <c r="I111" s="1">
        <v>2413319895369</v>
      </c>
      <c r="J111" s="1">
        <v>2382756601714</v>
      </c>
      <c r="K111" s="1">
        <v>2292924704109</v>
      </c>
      <c r="L111" s="1">
        <v>2305279307579</v>
      </c>
      <c r="M111" s="1">
        <v>2323723100389</v>
      </c>
      <c r="N111" s="1">
        <v>2374163042421</v>
      </c>
      <c r="O111" s="1">
        <v>2450909735506</v>
      </c>
      <c r="P111" s="1">
        <v>2415983152199</v>
      </c>
      <c r="Q111" s="1">
        <v>2473159860809</v>
      </c>
      <c r="R111" s="1">
        <v>2650363643674</v>
      </c>
      <c r="S111" s="25">
        <v>2814731509951</v>
      </c>
      <c r="T111" s="21">
        <v>2805004000000</v>
      </c>
      <c r="U111" s="33">
        <v>2763350015881</v>
      </c>
      <c r="V111" s="1">
        <v>2768585876759</v>
      </c>
      <c r="W111" s="25">
        <v>2569795481920</v>
      </c>
      <c r="X111" s="75"/>
    </row>
    <row r="112" spans="1:25" ht="17">
      <c r="A112" s="76">
        <v>4</v>
      </c>
      <c r="B112" s="50" t="s">
        <v>146</v>
      </c>
      <c r="C112" s="50" t="s">
        <v>145</v>
      </c>
      <c r="D112" s="21">
        <v>2018</v>
      </c>
      <c r="E112" s="21"/>
      <c r="F112" s="21"/>
      <c r="G112" s="25"/>
      <c r="H112" s="21">
        <v>2019</v>
      </c>
      <c r="I112" s="21"/>
      <c r="J112" s="21"/>
      <c r="K112" s="25"/>
      <c r="L112" s="21">
        <v>2020</v>
      </c>
      <c r="M112" s="21"/>
      <c r="N112" s="21"/>
      <c r="O112" s="25"/>
      <c r="P112" s="21">
        <v>2021</v>
      </c>
      <c r="Q112" s="21"/>
      <c r="R112" s="21"/>
      <c r="S112" s="25"/>
      <c r="T112" s="21">
        <v>2022</v>
      </c>
      <c r="U112" s="21"/>
      <c r="V112" s="21"/>
      <c r="W112" s="25"/>
      <c r="X112" s="75"/>
    </row>
    <row r="113" spans="1:24">
      <c r="B113" s="45" t="s">
        <v>58</v>
      </c>
      <c r="D113" s="25">
        <v>1092216775330</v>
      </c>
      <c r="E113" s="25">
        <v>1092216775330</v>
      </c>
      <c r="F113" s="25">
        <v>1092216775330</v>
      </c>
      <c r="G113" s="25">
        <v>1092216775330</v>
      </c>
      <c r="H113" s="35">
        <v>1123043963886</v>
      </c>
      <c r="I113" s="35">
        <v>1146935251321</v>
      </c>
      <c r="J113" s="36">
        <v>1249650542303</v>
      </c>
      <c r="K113" s="2">
        <v>1370511554169</v>
      </c>
      <c r="L113" s="2">
        <v>1382720649910</v>
      </c>
      <c r="M113" s="35">
        <v>1249553846504</v>
      </c>
      <c r="N113" s="37">
        <v>1224346929855</v>
      </c>
      <c r="O113" s="2">
        <v>594617548109</v>
      </c>
      <c r="P113" s="36">
        <v>583382523571</v>
      </c>
      <c r="Q113" s="36">
        <v>574071390458</v>
      </c>
      <c r="R113" s="36">
        <v>585943444225</v>
      </c>
      <c r="S113" s="2">
        <v>377302397528</v>
      </c>
      <c r="T113" s="38">
        <v>353966033975</v>
      </c>
      <c r="U113" s="39">
        <v>348813318319</v>
      </c>
      <c r="V113" s="39">
        <v>338798167630</v>
      </c>
      <c r="W113" s="2">
        <v>133392871490</v>
      </c>
      <c r="X113" s="2"/>
    </row>
    <row r="114" spans="1:24">
      <c r="B114" s="45" t="s">
        <v>59</v>
      </c>
      <c r="D114" s="25">
        <v>533438496043</v>
      </c>
      <c r="E114" s="25">
        <v>533438496043</v>
      </c>
      <c r="F114" s="25">
        <v>533438496043</v>
      </c>
      <c r="G114" s="25">
        <v>533438496043</v>
      </c>
      <c r="H114" s="35">
        <v>558797509323</v>
      </c>
      <c r="I114" s="35">
        <v>542470343905</v>
      </c>
      <c r="J114" s="36">
        <v>651635534133</v>
      </c>
      <c r="K114" s="21">
        <v>779145720624</v>
      </c>
      <c r="L114" s="2">
        <v>788899187687</v>
      </c>
      <c r="M114" s="35">
        <v>699077528789</v>
      </c>
      <c r="N114" s="37">
        <v>697170765633</v>
      </c>
      <c r="O114" s="2">
        <v>422167708885</v>
      </c>
      <c r="P114" s="36">
        <v>417774626112</v>
      </c>
      <c r="Q114" s="36">
        <v>413933063657</v>
      </c>
      <c r="R114" s="36">
        <v>301201453065</v>
      </c>
      <c r="S114" s="2">
        <v>270031395397</v>
      </c>
      <c r="T114" s="38">
        <v>283943264161</v>
      </c>
      <c r="U114" s="39">
        <v>301535661123</v>
      </c>
      <c r="V114" s="39">
        <v>295184408776</v>
      </c>
      <c r="W114" s="2">
        <v>291936129718</v>
      </c>
      <c r="X114" s="2"/>
    </row>
    <row r="115" spans="1:24" ht="17">
      <c r="B115" s="50" t="s">
        <v>57</v>
      </c>
      <c r="C115" s="50"/>
      <c r="D115" s="35">
        <v>20707773977</v>
      </c>
      <c r="E115" s="35">
        <v>9439812001</v>
      </c>
      <c r="F115" s="25">
        <v>23137103414</v>
      </c>
      <c r="G115" s="25">
        <v>15908538486</v>
      </c>
      <c r="H115" s="35">
        <v>35514951718</v>
      </c>
      <c r="I115" s="35">
        <v>454489806826</v>
      </c>
      <c r="J115" s="21">
        <v>-408110713657</v>
      </c>
      <c r="K115" s="21">
        <v>7332276038</v>
      </c>
      <c r="L115" s="2">
        <v>10781565025</v>
      </c>
      <c r="M115" s="35">
        <v>-33718013945</v>
      </c>
      <c r="N115" s="37">
        <v>-43718546114</v>
      </c>
      <c r="O115" s="2">
        <v>-169046062142</v>
      </c>
      <c r="P115" s="38">
        <v>-3146324431</v>
      </c>
      <c r="Q115" s="39">
        <v>-6429293518</v>
      </c>
      <c r="R115" s="39">
        <v>-2963609903</v>
      </c>
      <c r="S115" s="2">
        <v>-220644115416</v>
      </c>
      <c r="T115" s="38">
        <v>-14384812578</v>
      </c>
      <c r="U115" s="39">
        <v>-27604552655</v>
      </c>
      <c r="V115" s="39">
        <v>-21395995267</v>
      </c>
      <c r="W115" s="2">
        <v>-2057985794685</v>
      </c>
      <c r="X115" s="2"/>
    </row>
    <row r="116" spans="1:24">
      <c r="B116" s="45" t="s">
        <v>56</v>
      </c>
      <c r="D116" s="25">
        <v>1533320078372</v>
      </c>
      <c r="E116" s="25">
        <v>1533320078372</v>
      </c>
      <c r="F116" s="25">
        <v>1533320078372</v>
      </c>
      <c r="G116" s="25">
        <v>1533320078372</v>
      </c>
      <c r="H116" s="35">
        <v>1593157948716</v>
      </c>
      <c r="I116" s="35">
        <v>1611654395075</v>
      </c>
      <c r="J116" s="36">
        <v>1725896753935</v>
      </c>
      <c r="K116" s="21">
        <v>1867673930520</v>
      </c>
      <c r="L116" s="2">
        <v>1884554238511</v>
      </c>
      <c r="M116" s="35">
        <v>1750692470726</v>
      </c>
      <c r="N116" s="37">
        <v>1702301983322</v>
      </c>
      <c r="O116" s="2">
        <v>929338313746</v>
      </c>
      <c r="P116" s="36">
        <v>915118471030</v>
      </c>
      <c r="Q116" s="36">
        <v>904132519994</v>
      </c>
      <c r="R116" s="36">
        <v>911266379496</v>
      </c>
      <c r="S116" s="2">
        <v>720640872226</v>
      </c>
      <c r="T116" s="38">
        <v>699114203288</v>
      </c>
      <c r="U116" s="39">
        <v>676402893932</v>
      </c>
      <c r="V116" s="40">
        <v>657746487393</v>
      </c>
      <c r="W116" s="2">
        <v>480232027148</v>
      </c>
      <c r="X116" s="2"/>
    </row>
    <row r="117" spans="1:24">
      <c r="B117" s="45" t="s">
        <v>55</v>
      </c>
      <c r="D117" s="25">
        <v>662877470799</v>
      </c>
      <c r="E117" s="25">
        <v>662877470799</v>
      </c>
      <c r="F117" s="25">
        <v>662877470799</v>
      </c>
      <c r="G117" s="25">
        <v>662877470799</v>
      </c>
      <c r="H117" s="35">
        <v>684164802434</v>
      </c>
      <c r="I117" s="35">
        <v>686731799768</v>
      </c>
      <c r="J117" s="36">
        <v>766823988100</v>
      </c>
      <c r="K117" s="21">
        <v>895305652040</v>
      </c>
      <c r="L117" s="2">
        <v>1155588181310</v>
      </c>
      <c r="M117" s="35">
        <v>802925665928</v>
      </c>
      <c r="N117" s="37">
        <v>799412352318</v>
      </c>
      <c r="O117" s="2">
        <v>464910083092</v>
      </c>
      <c r="P117" s="36">
        <v>453787259062</v>
      </c>
      <c r="Q117" s="36">
        <v>449181295797</v>
      </c>
      <c r="R117" s="36">
        <v>459839459460</v>
      </c>
      <c r="S117" s="2">
        <v>457714941712</v>
      </c>
      <c r="T117" s="38">
        <v>484937579925</v>
      </c>
      <c r="U117" s="39">
        <v>493201600237</v>
      </c>
      <c r="V117" s="40">
        <v>496590565919</v>
      </c>
      <c r="W117" s="2">
        <v>491407904227</v>
      </c>
      <c r="X117" s="2"/>
    </row>
    <row r="118" spans="1:24" ht="17">
      <c r="A118" s="76">
        <v>5</v>
      </c>
      <c r="B118" s="50" t="s">
        <v>147</v>
      </c>
      <c r="C118" s="50" t="s">
        <v>148</v>
      </c>
      <c r="D118" s="21" t="s">
        <v>149</v>
      </c>
      <c r="E118" s="21">
        <v>2015</v>
      </c>
      <c r="F118" s="21"/>
      <c r="G118" s="25"/>
      <c r="H118" s="21"/>
      <c r="I118" s="21">
        <v>2016</v>
      </c>
      <c r="J118" s="21"/>
      <c r="K118" s="21"/>
      <c r="L118" s="21"/>
      <c r="M118" s="21">
        <v>2017</v>
      </c>
      <c r="N118" s="21"/>
      <c r="O118" s="25"/>
      <c r="P118" s="21"/>
      <c r="Q118" s="21">
        <v>2018</v>
      </c>
      <c r="R118" s="21"/>
      <c r="S118" s="25"/>
      <c r="T118" s="21"/>
      <c r="U118" s="21">
        <v>2019</v>
      </c>
      <c r="V118" s="21"/>
      <c r="W118" s="25"/>
      <c r="X118" s="75"/>
    </row>
    <row r="119" spans="1:24">
      <c r="B119" s="50"/>
      <c r="C119" s="50"/>
      <c r="D119" s="21"/>
      <c r="E119" s="21">
        <f>E122</f>
        <v>4345015821</v>
      </c>
      <c r="F119" s="21">
        <f>F122-E122</f>
        <v>-5899008251</v>
      </c>
      <c r="G119" s="21">
        <f t="shared" ref="G119:H119" si="0">G122-F122</f>
        <v>2669755045</v>
      </c>
      <c r="H119" s="21">
        <f t="shared" si="0"/>
        <v>-12647316778</v>
      </c>
      <c r="I119" s="21">
        <f>I122</f>
        <v>6894781355</v>
      </c>
      <c r="J119" s="21">
        <f>J122-I122</f>
        <v>-9152758488</v>
      </c>
      <c r="K119" s="21">
        <f t="shared" ref="K119:L119" si="1">K122-J122</f>
        <v>7130450783</v>
      </c>
      <c r="L119" s="21">
        <f t="shared" si="1"/>
        <v>-13556910720</v>
      </c>
      <c r="M119" s="21">
        <f>M122</f>
        <v>5913092508</v>
      </c>
      <c r="N119" s="21">
        <v>-2257977133</v>
      </c>
      <c r="O119" s="75">
        <v>4872473650</v>
      </c>
      <c r="P119" s="21">
        <v>-8684437070</v>
      </c>
      <c r="Q119" s="21">
        <v>5913092508</v>
      </c>
      <c r="R119" s="21">
        <f>R122-Q119</f>
        <v>-8171069641</v>
      </c>
      <c r="S119" s="21">
        <f t="shared" ref="S119:T119" si="2">S122-R119</f>
        <v>13043543291</v>
      </c>
      <c r="T119" s="21">
        <f t="shared" si="2"/>
        <v>-21727980361</v>
      </c>
      <c r="U119" s="21">
        <v>5913092508</v>
      </c>
      <c r="V119" s="241"/>
      <c r="W119" s="75"/>
      <c r="X119" s="75"/>
    </row>
    <row r="120" spans="1:24" ht="18">
      <c r="B120" s="45" t="s">
        <v>58</v>
      </c>
      <c r="D120" s="21">
        <v>185329872261</v>
      </c>
      <c r="E120" s="21">
        <v>194038340554</v>
      </c>
      <c r="F120" s="21">
        <v>199190997568</v>
      </c>
      <c r="G120" s="21">
        <v>209362026811</v>
      </c>
      <c r="H120" s="21">
        <v>200806881030</v>
      </c>
      <c r="I120" s="21">
        <v>204415711204</v>
      </c>
      <c r="J120" s="21">
        <v>213972638159</v>
      </c>
      <c r="K120" s="21">
        <v>200956677753</v>
      </c>
      <c r="L120" s="21">
        <v>251537957514</v>
      </c>
      <c r="M120" s="21">
        <v>247601536393</v>
      </c>
      <c r="N120" s="21">
        <v>251425965238</v>
      </c>
      <c r="O120" s="21">
        <v>251425965238</v>
      </c>
      <c r="P120" s="21">
        <v>329015167382</v>
      </c>
      <c r="Q120" s="21">
        <v>436596444570</v>
      </c>
      <c r="R120" s="21">
        <v>436596444570</v>
      </c>
      <c r="S120" s="30">
        <v>464063631300</v>
      </c>
      <c r="T120" s="30">
        <v>436596444571</v>
      </c>
      <c r="U120" s="30">
        <v>433471719153</v>
      </c>
      <c r="V120" s="30">
        <v>426302569783</v>
      </c>
      <c r="W120" s="30">
        <v>428908215765</v>
      </c>
      <c r="X120" s="30"/>
    </row>
    <row r="121" spans="1:24" ht="18">
      <c r="B121" s="45" t="s">
        <v>59</v>
      </c>
      <c r="D121" s="29">
        <v>261027989100</v>
      </c>
      <c r="E121" s="29">
        <v>273293437400</v>
      </c>
      <c r="F121" s="29">
        <v>280550700800</v>
      </c>
      <c r="G121" s="30">
        <v>294876094100</v>
      </c>
      <c r="H121" s="29">
        <v>282826593000</v>
      </c>
      <c r="I121" s="29">
        <v>287909452400</v>
      </c>
      <c r="J121" s="29">
        <v>301369912900</v>
      </c>
      <c r="K121" s="29">
        <v>283037574300</v>
      </c>
      <c r="L121" s="29">
        <v>354278813400</v>
      </c>
      <c r="M121" s="29">
        <v>348734558300</v>
      </c>
      <c r="N121" s="29">
        <v>354121077800</v>
      </c>
      <c r="O121" s="29">
        <v>354121077800</v>
      </c>
      <c r="P121" s="30">
        <v>463401644200</v>
      </c>
      <c r="Q121" s="30">
        <v>467578275600</v>
      </c>
      <c r="R121" s="29">
        <v>410050100000</v>
      </c>
      <c r="S121" s="29">
        <v>397650198840</v>
      </c>
      <c r="T121" s="29">
        <v>436338221754</v>
      </c>
      <c r="U121" s="29">
        <v>453122622636</v>
      </c>
      <c r="V121" s="29">
        <v>453312038480</v>
      </c>
      <c r="W121" s="29">
        <v>454778436039</v>
      </c>
      <c r="X121" s="29"/>
    </row>
    <row r="122" spans="1:24" ht="18">
      <c r="B122" s="50" t="s">
        <v>57</v>
      </c>
      <c r="C122" s="50"/>
      <c r="D122" s="29">
        <v>4345015821</v>
      </c>
      <c r="E122" s="29">
        <v>4345015821</v>
      </c>
      <c r="F122" s="29">
        <v>-1553992430</v>
      </c>
      <c r="G122" s="29">
        <v>1115762615</v>
      </c>
      <c r="H122" s="29">
        <v>-11531554163</v>
      </c>
      <c r="I122" s="29">
        <v>6894781355</v>
      </c>
      <c r="J122" s="29">
        <v>-2257977133</v>
      </c>
      <c r="K122" s="29">
        <v>4872473650</v>
      </c>
      <c r="L122" s="29">
        <v>-8684437070</v>
      </c>
      <c r="M122" s="29">
        <v>5913092508</v>
      </c>
      <c r="N122" s="239">
        <v>-2257977133</v>
      </c>
      <c r="O122" s="239">
        <v>4872473650</v>
      </c>
      <c r="P122" s="240">
        <v>-8684437070</v>
      </c>
      <c r="Q122" s="239">
        <v>5913092508</v>
      </c>
      <c r="R122" s="29">
        <v>-2257977133</v>
      </c>
      <c r="S122" s="29">
        <v>4872473650</v>
      </c>
      <c r="T122" s="239">
        <v>-8684437070</v>
      </c>
      <c r="U122" s="239">
        <v>-6257977133</v>
      </c>
      <c r="V122" s="29">
        <v>-7171226145</v>
      </c>
      <c r="W122" s="25">
        <v>-14189417043</v>
      </c>
      <c r="X122" s="75"/>
    </row>
    <row r="123" spans="1:24" ht="18">
      <c r="B123" s="45" t="s">
        <v>56</v>
      </c>
      <c r="D123" s="30">
        <v>479240512200</v>
      </c>
      <c r="E123" s="29">
        <v>494556452500</v>
      </c>
      <c r="F123" s="29">
        <v>504283461500</v>
      </c>
      <c r="G123" s="29">
        <v>518359510300</v>
      </c>
      <c r="H123" s="29">
        <v>533537626100</v>
      </c>
      <c r="I123" s="29">
        <v>543191984400</v>
      </c>
      <c r="J123" s="29">
        <v>549519535900</v>
      </c>
      <c r="K123" s="30">
        <v>533341123800</v>
      </c>
      <c r="L123" s="29">
        <v>598711565500</v>
      </c>
      <c r="M123" s="29">
        <v>596466295700</v>
      </c>
      <c r="N123" s="29">
        <v>583014115100</v>
      </c>
      <c r="O123" s="29">
        <v>587673336000</v>
      </c>
      <c r="P123" s="30">
        <v>645953214500</v>
      </c>
      <c r="Q123" s="29">
        <v>632175378600</v>
      </c>
      <c r="R123" s="29">
        <v>623505460200</v>
      </c>
      <c r="S123" s="30">
        <v>634113308900</v>
      </c>
      <c r="T123" s="29">
        <v>606055631090</v>
      </c>
      <c r="U123" s="29">
        <v>603473219510</v>
      </c>
      <c r="V123" s="29">
        <v>603757101433</v>
      </c>
      <c r="W123" s="29">
        <v>598205298094</v>
      </c>
      <c r="X123" s="29"/>
    </row>
    <row r="124" spans="1:24" ht="18">
      <c r="B124" s="45" t="s">
        <v>55</v>
      </c>
      <c r="D124" s="29">
        <v>292564822000</v>
      </c>
      <c r="E124" s="29">
        <v>303535746000</v>
      </c>
      <c r="F124" s="29">
        <v>314815748000</v>
      </c>
      <c r="G124" s="30">
        <v>327777034000</v>
      </c>
      <c r="H124" s="29">
        <v>356965177000</v>
      </c>
      <c r="I124" s="29">
        <v>359183929000</v>
      </c>
      <c r="J124" s="29">
        <v>368310283000</v>
      </c>
      <c r="K124" s="29">
        <v>347259397000</v>
      </c>
      <c r="L124" s="29">
        <v>420562586000</v>
      </c>
      <c r="M124" s="29">
        <v>412404224000</v>
      </c>
      <c r="N124" s="29">
        <v>410292702000</v>
      </c>
      <c r="O124" s="30">
        <v>412562529000</v>
      </c>
      <c r="P124" s="30">
        <v>520550572000</v>
      </c>
      <c r="Q124" s="30">
        <v>520903222000</v>
      </c>
      <c r="R124" s="29">
        <v>521198610000</v>
      </c>
      <c r="S124" s="29">
        <v>507667491110</v>
      </c>
      <c r="T124" s="29">
        <v>547363284100</v>
      </c>
      <c r="U124" s="29">
        <v>562045757170</v>
      </c>
      <c r="V124" s="29">
        <v>562226664673</v>
      </c>
      <c r="W124" s="29">
        <v>563693062232</v>
      </c>
      <c r="X124" s="29"/>
    </row>
    <row r="125" spans="1:24" ht="17">
      <c r="A125" s="76">
        <v>6</v>
      </c>
      <c r="B125" s="50" t="s">
        <v>150</v>
      </c>
      <c r="C125" s="50" t="s">
        <v>151</v>
      </c>
      <c r="D125" s="21" t="s">
        <v>140</v>
      </c>
      <c r="E125" s="21">
        <v>2019</v>
      </c>
      <c r="F125" s="21"/>
      <c r="G125" s="25"/>
      <c r="H125" s="21"/>
      <c r="I125" s="21">
        <v>2020</v>
      </c>
      <c r="J125" s="21"/>
      <c r="K125" s="21"/>
      <c r="L125" s="21"/>
      <c r="M125" s="21">
        <v>2021</v>
      </c>
      <c r="N125" s="21"/>
      <c r="O125" s="25"/>
      <c r="P125" s="21"/>
      <c r="Q125" s="25">
        <v>20.22</v>
      </c>
      <c r="R125" s="25"/>
      <c r="S125" s="25"/>
      <c r="T125" s="25"/>
      <c r="U125" s="25">
        <v>20.23</v>
      </c>
      <c r="V125" s="25"/>
      <c r="W125" s="25"/>
      <c r="X125" s="75"/>
    </row>
    <row r="126" spans="1:24">
      <c r="B126" s="50"/>
      <c r="C126" s="50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75"/>
      <c r="V126" s="21"/>
      <c r="W126" s="21"/>
      <c r="X126" s="75"/>
    </row>
    <row r="127" spans="1:24" ht="18">
      <c r="B127" s="45" t="s">
        <v>58</v>
      </c>
      <c r="D127" s="29">
        <v>639455076771</v>
      </c>
      <c r="E127" s="29">
        <v>628423030498</v>
      </c>
      <c r="F127" s="29">
        <v>705584421446</v>
      </c>
      <c r="G127" s="30">
        <v>722339527800</v>
      </c>
      <c r="H127" s="29">
        <v>545073353346</v>
      </c>
      <c r="I127" s="29">
        <v>615119921831</v>
      </c>
      <c r="J127" s="29">
        <v>555334212713</v>
      </c>
      <c r="K127" s="30">
        <v>468374022126</v>
      </c>
      <c r="L127" s="29">
        <v>478672990906</v>
      </c>
      <c r="M127" s="29">
        <v>483672940348</v>
      </c>
      <c r="N127" s="29">
        <v>497181623099</v>
      </c>
      <c r="O127" s="29">
        <v>455249874000</v>
      </c>
      <c r="P127" s="30">
        <v>439674241950</v>
      </c>
      <c r="Q127" s="29">
        <v>323069754642</v>
      </c>
      <c r="R127" s="29">
        <v>386366141217</v>
      </c>
      <c r="S127" s="29">
        <v>372699266003</v>
      </c>
      <c r="T127" s="29">
        <v>317514442853</v>
      </c>
      <c r="U127" s="29">
        <v>293251938179</v>
      </c>
      <c r="V127" s="29">
        <v>281884805380</v>
      </c>
      <c r="W127" s="30">
        <v>174128665890</v>
      </c>
      <c r="X127" s="30"/>
    </row>
    <row r="128" spans="1:24" ht="18">
      <c r="B128" s="45" t="s">
        <v>59</v>
      </c>
      <c r="D128" s="30">
        <v>776997095215</v>
      </c>
      <c r="E128" s="30">
        <v>783124307184</v>
      </c>
      <c r="F128" s="30">
        <v>822882013947</v>
      </c>
      <c r="G128" s="30">
        <v>867742928740</v>
      </c>
      <c r="H128" s="30">
        <v>906030161469</v>
      </c>
      <c r="I128" s="30">
        <v>1084939411490</v>
      </c>
      <c r="J128" s="29">
        <v>768803824850</v>
      </c>
      <c r="K128" s="29">
        <v>254391481567</v>
      </c>
      <c r="L128" s="30">
        <v>201156971704</v>
      </c>
      <c r="M128" s="29">
        <v>234364805902</v>
      </c>
      <c r="N128" s="29">
        <v>236000967009</v>
      </c>
      <c r="O128" s="29">
        <v>256742417120</v>
      </c>
      <c r="P128" s="29">
        <v>237465302875</v>
      </c>
      <c r="Q128" s="30">
        <v>202448019558</v>
      </c>
      <c r="R128" s="29">
        <v>212089341538</v>
      </c>
      <c r="S128" s="29">
        <v>216818849296</v>
      </c>
      <c r="T128" s="29">
        <v>229742791142</v>
      </c>
      <c r="U128" s="30">
        <v>233311921573</v>
      </c>
      <c r="V128" s="30">
        <v>254877792592</v>
      </c>
      <c r="W128" s="30">
        <v>171977770470</v>
      </c>
      <c r="X128" s="30"/>
    </row>
    <row r="129" spans="1:24" s="248" customFormat="1" ht="18">
      <c r="A129" s="245"/>
      <c r="B129" s="246" t="s">
        <v>57</v>
      </c>
      <c r="C129" s="246"/>
      <c r="D129" s="247">
        <v>7358134969</v>
      </c>
      <c r="E129" s="238">
        <v>57887814</v>
      </c>
      <c r="F129" s="238">
        <v>4949864265</v>
      </c>
      <c r="G129" s="238">
        <v>-3437081074</v>
      </c>
      <c r="H129" s="238">
        <v>-46351979284</v>
      </c>
      <c r="I129" s="238">
        <v>-7608936552</v>
      </c>
      <c r="J129" s="238">
        <v>21469044624</v>
      </c>
      <c r="K129" s="238">
        <v>-20512843682</v>
      </c>
      <c r="L129" s="238">
        <v>-119220930551</v>
      </c>
      <c r="M129" s="238">
        <v>-33754589552</v>
      </c>
      <c r="N129" s="238">
        <v>51356989536</v>
      </c>
      <c r="O129" s="238">
        <v>-15717066651</v>
      </c>
      <c r="P129" s="238">
        <v>-23384578365</v>
      </c>
      <c r="Q129" s="238">
        <v>258035968</v>
      </c>
      <c r="R129" s="238">
        <v>-28857721258</v>
      </c>
      <c r="S129" s="238">
        <v>-29166415361</v>
      </c>
      <c r="T129" s="238">
        <v>-29166415361</v>
      </c>
      <c r="U129" s="238">
        <v>-28857721258</v>
      </c>
      <c r="V129" s="247">
        <v>-16542867286</v>
      </c>
      <c r="W129" s="238">
        <v>-81619273894</v>
      </c>
      <c r="X129" s="238"/>
    </row>
    <row r="130" spans="1:24" ht="18">
      <c r="B130" s="45" t="s">
        <v>56</v>
      </c>
      <c r="D130" s="29">
        <v>1635543021515</v>
      </c>
      <c r="E130" s="29">
        <v>1632499263805</v>
      </c>
      <c r="F130" s="29">
        <v>1720351587501</v>
      </c>
      <c r="G130" s="29">
        <v>1673570224050</v>
      </c>
      <c r="H130" s="29">
        <v>1657127269800</v>
      </c>
      <c r="I130" s="29">
        <v>1723948486880</v>
      </c>
      <c r="J130" s="29">
        <v>1650251826410</v>
      </c>
      <c r="K130" s="29">
        <v>1687161708990</v>
      </c>
      <c r="L130" s="29">
        <v>1668922580520</v>
      </c>
      <c r="M130" s="29">
        <v>1682318994730</v>
      </c>
      <c r="N130" s="29">
        <v>1700762404380</v>
      </c>
      <c r="O130" s="29">
        <v>1651882804460</v>
      </c>
      <c r="P130" s="29">
        <v>1637794655750</v>
      </c>
      <c r="Q130" s="29">
        <v>1573166553780</v>
      </c>
      <c r="R130" s="30">
        <v>1606174459250</v>
      </c>
      <c r="S130" s="30">
        <v>1576913211160</v>
      </c>
      <c r="T130" s="30">
        <v>1576913211160</v>
      </c>
      <c r="U130" s="30">
        <v>1502158108870</v>
      </c>
      <c r="V130" s="29">
        <v>1484852298680</v>
      </c>
      <c r="W130" s="29">
        <v>1440862233440</v>
      </c>
      <c r="X130" s="29"/>
    </row>
    <row r="131" spans="1:24" ht="18">
      <c r="B131" s="45" t="s">
        <v>55</v>
      </c>
      <c r="D131" s="29">
        <v>947413833531</v>
      </c>
      <c r="E131" s="29">
        <v>925171449348</v>
      </c>
      <c r="F131" s="29">
        <v>954350764721</v>
      </c>
      <c r="G131" s="29">
        <v>987264102560</v>
      </c>
      <c r="H131" s="29">
        <v>1011402296450</v>
      </c>
      <c r="I131" s="29">
        <v>1199934182610</v>
      </c>
      <c r="J131" s="29">
        <v>1108393149430</v>
      </c>
      <c r="K131" s="29">
        <v>1145119627030</v>
      </c>
      <c r="L131" s="29">
        <v>1149071273340</v>
      </c>
      <c r="M131" s="29">
        <v>1196222277100</v>
      </c>
      <c r="N131" s="29">
        <v>1163308697210</v>
      </c>
      <c r="O131" s="29">
        <v>1157657905020</v>
      </c>
      <c r="P131" s="29">
        <v>1150442593600</v>
      </c>
      <c r="Q131" s="29">
        <v>1107466919690</v>
      </c>
      <c r="R131" s="29">
        <v>1147422082390</v>
      </c>
      <c r="S131" s="29">
        <v>1202475433210</v>
      </c>
      <c r="T131" s="29">
        <v>1202475433210</v>
      </c>
      <c r="U131" s="29">
        <v>1152558864460</v>
      </c>
      <c r="V131" s="29">
        <v>1155815109280</v>
      </c>
      <c r="W131" s="29">
        <v>1193471317930</v>
      </c>
      <c r="X131" s="29"/>
    </row>
    <row r="132" spans="1:24" ht="17">
      <c r="A132" s="76">
        <v>7</v>
      </c>
      <c r="B132" s="50" t="s">
        <v>155</v>
      </c>
      <c r="C132" s="50" t="s">
        <v>152</v>
      </c>
      <c r="D132" s="21">
        <v>2016</v>
      </c>
      <c r="E132" s="21">
        <v>2017</v>
      </c>
      <c r="F132" s="21"/>
      <c r="G132" s="25"/>
      <c r="H132" s="21"/>
      <c r="I132" s="21">
        <v>2018</v>
      </c>
      <c r="J132" s="21"/>
      <c r="K132" s="21"/>
      <c r="L132" s="21"/>
      <c r="M132" s="21">
        <v>2019</v>
      </c>
      <c r="N132" s="21"/>
      <c r="O132" s="25"/>
      <c r="P132" s="21"/>
      <c r="Q132" s="21">
        <v>2020</v>
      </c>
      <c r="R132" s="21"/>
      <c r="S132" s="25"/>
      <c r="T132" s="21"/>
      <c r="U132" s="21">
        <v>2021</v>
      </c>
      <c r="V132" s="21"/>
      <c r="W132" s="25"/>
      <c r="X132" s="75"/>
    </row>
    <row r="133" spans="1:24" ht="18">
      <c r="B133" s="45" t="s">
        <v>58</v>
      </c>
      <c r="D133" s="29">
        <v>66974000000</v>
      </c>
      <c r="E133" s="29">
        <v>10017000000</v>
      </c>
      <c r="F133" s="29">
        <v>10036000000</v>
      </c>
      <c r="G133" s="29">
        <v>10072000000</v>
      </c>
      <c r="H133" s="29">
        <v>5266000000</v>
      </c>
      <c r="I133" s="29">
        <v>5620000000</v>
      </c>
      <c r="J133" s="29">
        <v>5739000000</v>
      </c>
      <c r="K133" s="29">
        <v>5676000000</v>
      </c>
      <c r="L133" s="29">
        <v>2908000000</v>
      </c>
      <c r="M133" s="29">
        <v>3883000000</v>
      </c>
      <c r="N133" s="29">
        <v>3582000000</v>
      </c>
      <c r="O133" s="30">
        <v>3848000000</v>
      </c>
      <c r="P133" s="29">
        <v>4159000000</v>
      </c>
      <c r="Q133" s="29">
        <v>4726000000</v>
      </c>
      <c r="R133" s="29">
        <v>4707000000</v>
      </c>
      <c r="S133" s="30">
        <v>36420000</v>
      </c>
      <c r="T133" s="29">
        <v>2378000000</v>
      </c>
      <c r="U133" s="29">
        <v>2782000000</v>
      </c>
      <c r="V133" s="29">
        <v>5792000000</v>
      </c>
      <c r="W133" s="30">
        <v>19360000000</v>
      </c>
      <c r="X133" s="30"/>
    </row>
    <row r="134" spans="1:24" ht="18">
      <c r="B134" s="45" t="s">
        <v>59</v>
      </c>
      <c r="D134" s="29">
        <v>7614802000000</v>
      </c>
      <c r="E134" s="29">
        <v>8237972000000</v>
      </c>
      <c r="F134" s="29">
        <v>8418027000000</v>
      </c>
      <c r="G134" s="29">
        <v>8559606000000</v>
      </c>
      <c r="H134" s="29">
        <v>8933611000000</v>
      </c>
      <c r="I134" s="29">
        <v>9092935000000</v>
      </c>
      <c r="J134" s="29">
        <v>9384657000000</v>
      </c>
      <c r="K134" s="29">
        <v>9629715000000</v>
      </c>
      <c r="L134" s="29">
        <v>10096465000000</v>
      </c>
      <c r="M134" s="29">
        <v>10167283000000</v>
      </c>
      <c r="N134" s="29">
        <v>10171991000000</v>
      </c>
      <c r="O134" s="30">
        <v>10296233000000</v>
      </c>
      <c r="P134" s="29">
        <v>9827922000000</v>
      </c>
      <c r="Q134" s="30">
        <v>9993154000000</v>
      </c>
      <c r="R134" s="29">
        <v>9956536000000</v>
      </c>
      <c r="S134" s="29">
        <v>1100750000000</v>
      </c>
      <c r="T134" s="29">
        <v>881184000000</v>
      </c>
      <c r="U134" s="29">
        <v>886605000000</v>
      </c>
      <c r="V134" s="29">
        <v>890104000000</v>
      </c>
      <c r="W134" s="29">
        <v>905818000000</v>
      </c>
      <c r="X134" s="29"/>
    </row>
    <row r="135" spans="1:24" ht="18">
      <c r="B135" s="50" t="s">
        <v>57</v>
      </c>
      <c r="C135" s="50"/>
      <c r="D135" s="29">
        <v>4804118344</v>
      </c>
      <c r="E135" s="29">
        <v>1643000000</v>
      </c>
      <c r="F135" s="29">
        <v>3557000000</v>
      </c>
      <c r="G135" s="29">
        <v>5727000000</v>
      </c>
      <c r="H135" s="29">
        <v>-3056000000</v>
      </c>
      <c r="I135" s="29">
        <v>2239000000</v>
      </c>
      <c r="J135" s="29">
        <v>4401000000</v>
      </c>
      <c r="K135" s="29">
        <v>6514000000</v>
      </c>
      <c r="L135" s="29">
        <v>-4628000000</v>
      </c>
      <c r="M135" s="29">
        <v>2038000000</v>
      </c>
      <c r="N135" s="29">
        <v>3908000000</v>
      </c>
      <c r="O135" s="29">
        <v>5916000000</v>
      </c>
      <c r="P135" s="29">
        <v>-1587000000</v>
      </c>
      <c r="Q135" s="29">
        <v>3232000000</v>
      </c>
      <c r="R135" s="29">
        <v>5835000000</v>
      </c>
      <c r="S135" s="29">
        <v>8104000000</v>
      </c>
      <c r="T135" s="30">
        <v>-13203000000</v>
      </c>
      <c r="U135" s="29">
        <v>2676000000</v>
      </c>
      <c r="V135" s="29">
        <v>16256000000</v>
      </c>
      <c r="W135" s="30">
        <v>27789000000</v>
      </c>
      <c r="X135" s="30"/>
    </row>
    <row r="136" spans="1:24" ht="18">
      <c r="B136" s="45" t="s">
        <v>56</v>
      </c>
      <c r="D136" s="29">
        <v>2210890000000</v>
      </c>
      <c r="E136" s="29">
        <v>1333027000000</v>
      </c>
      <c r="F136" s="29">
        <v>1130566000000</v>
      </c>
      <c r="G136" s="29">
        <v>926816000000</v>
      </c>
      <c r="H136" s="29">
        <v>718022000000</v>
      </c>
      <c r="I136" s="29">
        <v>718285000000</v>
      </c>
      <c r="J136" s="29">
        <v>717748000000</v>
      </c>
      <c r="K136" s="29">
        <v>738947000000</v>
      </c>
      <c r="L136" s="30">
        <v>713505000000</v>
      </c>
      <c r="M136" s="29">
        <v>714279000000</v>
      </c>
      <c r="N136" s="29">
        <v>714607000000</v>
      </c>
      <c r="O136" s="29">
        <v>714126000000</v>
      </c>
      <c r="P136" s="29">
        <v>15677000000</v>
      </c>
      <c r="Q136" s="29">
        <v>16057000000</v>
      </c>
      <c r="R136" s="29">
        <v>16295000000</v>
      </c>
      <c r="S136" s="29">
        <v>4544000000</v>
      </c>
      <c r="T136" s="29">
        <v>3266000000</v>
      </c>
      <c r="U136" s="29">
        <v>3817000000</v>
      </c>
      <c r="V136" s="29">
        <v>6811000000</v>
      </c>
      <c r="W136" s="29">
        <v>20449000000</v>
      </c>
      <c r="X136" s="29"/>
    </row>
    <row r="137" spans="1:24" ht="18">
      <c r="B137" s="45" t="s">
        <v>55</v>
      </c>
      <c r="D137" s="29">
        <v>14840403000000</v>
      </c>
      <c r="E137" s="29">
        <v>14182665000000</v>
      </c>
      <c r="F137" s="29">
        <v>14377270000000</v>
      </c>
      <c r="G137" s="29">
        <v>14554586000000</v>
      </c>
      <c r="H137" s="29">
        <v>14873446000000</v>
      </c>
      <c r="I137" s="29">
        <v>15048689000000</v>
      </c>
      <c r="J137" s="29">
        <v>15413292000000</v>
      </c>
      <c r="K137" s="29">
        <v>15717411000000</v>
      </c>
      <c r="L137" s="29">
        <v>16132748000000</v>
      </c>
      <c r="M137" s="29">
        <v>16177324000000</v>
      </c>
      <c r="N137" s="29">
        <v>16158653000000</v>
      </c>
      <c r="O137" s="30">
        <v>16298406000000</v>
      </c>
      <c r="P137" s="29">
        <v>15260093000000</v>
      </c>
      <c r="Q137" s="29">
        <v>15505454000000</v>
      </c>
      <c r="R137" s="29">
        <v>15433771000000</v>
      </c>
      <c r="S137" s="30">
        <v>9672782000000</v>
      </c>
      <c r="T137" s="29">
        <v>11306819000000</v>
      </c>
      <c r="U137" s="29">
        <v>11334689000000</v>
      </c>
      <c r="V137" s="29">
        <v>11383087000000</v>
      </c>
      <c r="W137" s="29">
        <v>11398801000000</v>
      </c>
      <c r="X137" s="29"/>
    </row>
    <row r="138" spans="1:24" ht="17">
      <c r="A138" s="76">
        <v>8</v>
      </c>
      <c r="B138" s="50" t="s">
        <v>153</v>
      </c>
      <c r="C138" s="50" t="s">
        <v>154</v>
      </c>
      <c r="D138" s="21"/>
      <c r="E138" s="21"/>
      <c r="F138" s="21"/>
      <c r="G138" s="25">
        <v>2020</v>
      </c>
      <c r="H138" s="21"/>
      <c r="I138" s="21"/>
      <c r="J138" s="21"/>
      <c r="K138" s="21">
        <v>2021</v>
      </c>
      <c r="L138" s="21"/>
      <c r="M138" s="21"/>
      <c r="N138" s="21"/>
      <c r="O138" s="25">
        <v>2022</v>
      </c>
      <c r="P138" s="21"/>
      <c r="Q138" s="21"/>
      <c r="R138" s="21"/>
      <c r="S138" s="25">
        <v>2023</v>
      </c>
      <c r="T138" s="21"/>
      <c r="U138" s="21"/>
      <c r="V138" s="21"/>
      <c r="W138" s="25">
        <v>2024</v>
      </c>
      <c r="X138" s="75"/>
    </row>
    <row r="139" spans="1:24">
      <c r="B139" s="50"/>
      <c r="C139" s="50"/>
      <c r="D139" s="21"/>
      <c r="E139" s="21"/>
      <c r="F139" s="21"/>
      <c r="G139" s="75"/>
      <c r="H139" s="21"/>
      <c r="I139" s="21"/>
      <c r="J139" s="21"/>
      <c r="K139" s="75"/>
      <c r="L139" s="21"/>
      <c r="M139" s="21"/>
      <c r="N139" s="21"/>
      <c r="O139" s="75"/>
      <c r="P139" s="21"/>
      <c r="Q139" s="21"/>
      <c r="R139" s="21"/>
      <c r="S139" s="75"/>
      <c r="T139" s="21"/>
      <c r="U139" s="21"/>
      <c r="V139" s="21"/>
      <c r="W139" s="75"/>
      <c r="X139" s="75"/>
    </row>
    <row r="140" spans="1:24" ht="18">
      <c r="B140" s="45" t="s">
        <v>58</v>
      </c>
      <c r="D140" s="29">
        <v>412399831</v>
      </c>
      <c r="E140" s="29">
        <v>413919458</v>
      </c>
      <c r="F140" s="29">
        <v>452645220</v>
      </c>
      <c r="G140" s="29">
        <v>454001034</v>
      </c>
      <c r="H140" s="29">
        <v>426672548</v>
      </c>
      <c r="I140" s="29">
        <v>370438072</v>
      </c>
      <c r="J140" s="29">
        <v>350535138</v>
      </c>
      <c r="K140" s="29">
        <v>397376705</v>
      </c>
      <c r="L140" s="29">
        <v>382134556</v>
      </c>
      <c r="M140" s="29">
        <v>466214434</v>
      </c>
      <c r="N140" s="29">
        <v>551556637</v>
      </c>
      <c r="O140" s="29">
        <v>775582880</v>
      </c>
      <c r="P140" s="30">
        <v>857974816</v>
      </c>
      <c r="Q140" s="30">
        <v>989431528</v>
      </c>
      <c r="R140" s="29">
        <v>990343259</v>
      </c>
      <c r="S140" s="29">
        <v>772731911</v>
      </c>
      <c r="T140" s="29">
        <v>663788800</v>
      </c>
      <c r="U140" s="29">
        <v>725103870</v>
      </c>
      <c r="V140" s="29">
        <v>620526346</v>
      </c>
      <c r="W140" s="29">
        <v>704716702</v>
      </c>
      <c r="X140" s="29"/>
    </row>
    <row r="141" spans="1:24" ht="18">
      <c r="B141" s="45" t="s">
        <v>59</v>
      </c>
      <c r="D141" s="29">
        <v>1137108847</v>
      </c>
      <c r="E141" s="29">
        <v>1030473755</v>
      </c>
      <c r="F141" s="29">
        <v>1111609940</v>
      </c>
      <c r="G141" s="29">
        <v>1172847045</v>
      </c>
      <c r="H141" s="29">
        <v>1184476974</v>
      </c>
      <c r="I141" s="29">
        <v>1340513544</v>
      </c>
      <c r="J141" s="29">
        <v>1369982437</v>
      </c>
      <c r="K141" s="29">
        <v>1298664634</v>
      </c>
      <c r="L141" s="29">
        <v>1227157604</v>
      </c>
      <c r="M141" s="29">
        <v>1271658574</v>
      </c>
      <c r="N141" s="29">
        <v>1318741475</v>
      </c>
      <c r="O141" s="29">
        <v>2877190810</v>
      </c>
      <c r="P141" s="29">
        <v>2863059988</v>
      </c>
      <c r="Q141" s="29">
        <v>2910570163</v>
      </c>
      <c r="R141" s="29">
        <v>2691895984</v>
      </c>
      <c r="S141" s="29">
        <v>922761750</v>
      </c>
      <c r="T141" s="29">
        <v>796041410</v>
      </c>
      <c r="U141" s="29">
        <v>838352940</v>
      </c>
      <c r="V141" s="29">
        <v>760273892</v>
      </c>
      <c r="W141" s="29">
        <v>848168229</v>
      </c>
      <c r="X141" s="29"/>
    </row>
    <row r="142" spans="1:24" s="248" customFormat="1" ht="20">
      <c r="A142" s="245"/>
      <c r="B142" s="246" t="s">
        <v>57</v>
      </c>
      <c r="C142" s="246"/>
      <c r="D142" s="249">
        <v>44938584</v>
      </c>
      <c r="E142" s="238">
        <v>41729756</v>
      </c>
      <c r="F142" s="238">
        <v>-77197858</v>
      </c>
      <c r="G142" s="238">
        <v>-34854631</v>
      </c>
      <c r="H142" s="249">
        <v>-50536757</v>
      </c>
      <c r="I142" s="238">
        <v>-51593797</v>
      </c>
      <c r="J142" s="238">
        <v>-200365774</v>
      </c>
      <c r="K142" s="247">
        <v>-10071985</v>
      </c>
      <c r="L142" s="238">
        <v>16503442</v>
      </c>
      <c r="M142" s="238">
        <v>64854973</v>
      </c>
      <c r="N142" s="238">
        <v>152090584</v>
      </c>
      <c r="O142" s="238">
        <v>46736538</v>
      </c>
      <c r="P142" s="238">
        <v>131705392</v>
      </c>
      <c r="Q142" s="238">
        <v>205233985</v>
      </c>
      <c r="R142" s="238">
        <v>172988591</v>
      </c>
      <c r="S142" s="238">
        <v>67466386</v>
      </c>
      <c r="T142" s="238">
        <v>23749746</v>
      </c>
      <c r="U142" s="238">
        <v>-52249143</v>
      </c>
      <c r="V142" s="250">
        <v>-12066022</v>
      </c>
      <c r="W142" s="238">
        <v>72720833</v>
      </c>
      <c r="X142" s="238"/>
    </row>
    <row r="143" spans="1:24" ht="18">
      <c r="B143" s="45" t="s">
        <v>56</v>
      </c>
      <c r="D143" s="29">
        <v>3894684274</v>
      </c>
      <c r="E143" s="29">
        <v>3656148444</v>
      </c>
      <c r="F143" s="29">
        <v>3726167600</v>
      </c>
      <c r="G143" s="29">
        <v>3702805778</v>
      </c>
      <c r="H143" s="29">
        <v>3618551147</v>
      </c>
      <c r="I143" s="29">
        <v>3580300521</v>
      </c>
      <c r="J143" s="29">
        <v>3410878790</v>
      </c>
      <c r="K143" s="29">
        <v>3428550330</v>
      </c>
      <c r="L143" s="29">
        <v>3410767350</v>
      </c>
      <c r="M143" s="29">
        <v>3523808806</v>
      </c>
      <c r="N143" s="29">
        <v>3702688140</v>
      </c>
      <c r="O143" s="29">
        <v>4223787286</v>
      </c>
      <c r="P143" s="29">
        <v>4169474938</v>
      </c>
      <c r="Q143" s="29">
        <v>4460706322</v>
      </c>
      <c r="R143" s="29">
        <v>4544447280</v>
      </c>
      <c r="S143" s="29">
        <v>4488046970</v>
      </c>
      <c r="T143" s="29">
        <v>4296876350</v>
      </c>
      <c r="U143" s="29">
        <v>4365496480</v>
      </c>
      <c r="V143" s="29">
        <v>4188981843</v>
      </c>
      <c r="W143" s="29">
        <v>4202694216</v>
      </c>
      <c r="X143" s="29"/>
    </row>
    <row r="144" spans="1:24" ht="18">
      <c r="B144" s="45" t="s">
        <v>55</v>
      </c>
      <c r="D144" s="29">
        <v>3340194521</v>
      </c>
      <c r="E144" s="29">
        <v>3065373617</v>
      </c>
      <c r="F144" s="29">
        <v>3850766560</v>
      </c>
      <c r="G144" s="29">
        <v>3192870099</v>
      </c>
      <c r="H144" s="29">
        <v>3141757787</v>
      </c>
      <c r="I144" s="29">
        <v>3102379044</v>
      </c>
      <c r="J144" s="29">
        <v>2984492757</v>
      </c>
      <c r="K144" s="29">
        <v>4027363270</v>
      </c>
      <c r="L144" s="29">
        <v>4018339600</v>
      </c>
      <c r="M144" s="29">
        <v>3306464265</v>
      </c>
      <c r="N144" s="29">
        <v>4217342370</v>
      </c>
      <c r="O144" s="29">
        <v>3577340599</v>
      </c>
      <c r="P144" s="29">
        <v>3414338901</v>
      </c>
      <c r="Q144" s="29">
        <v>3573120274</v>
      </c>
      <c r="R144" s="29">
        <v>4677917890</v>
      </c>
      <c r="S144" s="29">
        <v>2909684110</v>
      </c>
      <c r="T144" s="29">
        <v>2704033430</v>
      </c>
      <c r="U144" s="29">
        <v>2752294430</v>
      </c>
      <c r="V144" s="29">
        <v>2598798459</v>
      </c>
      <c r="W144" s="29">
        <v>2659557264</v>
      </c>
      <c r="X144" s="29"/>
    </row>
    <row r="145" spans="1:70" ht="17">
      <c r="A145" s="76">
        <v>9</v>
      </c>
      <c r="B145" s="50" t="s">
        <v>156</v>
      </c>
      <c r="C145" s="50" t="s">
        <v>157</v>
      </c>
      <c r="D145" s="21">
        <v>2019</v>
      </c>
      <c r="E145" s="21"/>
      <c r="F145" s="21"/>
      <c r="G145" s="25"/>
      <c r="H145" s="21"/>
      <c r="I145" s="21"/>
      <c r="J145" s="21"/>
      <c r="K145" s="21"/>
      <c r="L145" s="21"/>
      <c r="M145" s="21"/>
      <c r="N145" s="21"/>
      <c r="O145" s="25"/>
      <c r="P145" s="21"/>
      <c r="Q145" s="21"/>
      <c r="R145" s="21"/>
      <c r="S145" s="25"/>
      <c r="T145" s="21">
        <v>2023</v>
      </c>
      <c r="U145" s="25"/>
      <c r="V145" s="25"/>
      <c r="W145" s="25"/>
      <c r="X145" s="75"/>
    </row>
    <row r="146" spans="1:70">
      <c r="B146" s="50"/>
      <c r="C146" s="50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75"/>
    </row>
    <row r="147" spans="1:70" ht="18">
      <c r="B147" s="45" t="s">
        <v>58</v>
      </c>
      <c r="D147" s="29">
        <v>3941143386250</v>
      </c>
      <c r="E147" s="29">
        <v>3735800160170</v>
      </c>
      <c r="F147" s="29">
        <v>3734865719037</v>
      </c>
      <c r="G147" s="29">
        <v>3861731207805</v>
      </c>
      <c r="H147" s="29">
        <v>3532422368502</v>
      </c>
      <c r="I147" s="29">
        <v>3479148465002</v>
      </c>
      <c r="J147" s="29">
        <v>3470181767852</v>
      </c>
      <c r="K147" s="30">
        <v>2388191472756</v>
      </c>
      <c r="L147" s="30">
        <v>2397525290702</v>
      </c>
      <c r="M147" s="30">
        <v>2412445997362</v>
      </c>
      <c r="N147" s="30">
        <v>2403239112326</v>
      </c>
      <c r="O147" s="29">
        <v>3395447292615</v>
      </c>
      <c r="P147" s="29">
        <v>3368867936510</v>
      </c>
      <c r="Q147" s="29">
        <v>2625899118534</v>
      </c>
      <c r="R147" s="29">
        <v>2541825872519</v>
      </c>
      <c r="S147" s="29">
        <v>2455645610550</v>
      </c>
      <c r="T147" s="29">
        <v>2529534847630</v>
      </c>
      <c r="U147" s="29">
        <v>2544933612911</v>
      </c>
      <c r="V147" s="29">
        <v>2560821365770</v>
      </c>
      <c r="W147" s="29">
        <v>2902172279779</v>
      </c>
      <c r="X147" s="29"/>
    </row>
    <row r="148" spans="1:70" ht="18">
      <c r="B148" s="45" t="s">
        <v>59</v>
      </c>
      <c r="D148" s="29">
        <v>1740144384025</v>
      </c>
      <c r="E148" s="29">
        <v>1738885031340</v>
      </c>
      <c r="F148" s="29">
        <v>2015473020234</v>
      </c>
      <c r="G148" s="29">
        <v>2004495457707</v>
      </c>
      <c r="H148" s="29">
        <v>2173529100439</v>
      </c>
      <c r="I148" s="29">
        <v>2233178278928</v>
      </c>
      <c r="J148" s="29">
        <v>2456303360315</v>
      </c>
      <c r="K148" s="30">
        <v>9295120926887</v>
      </c>
      <c r="L148" s="30">
        <v>9661351928276</v>
      </c>
      <c r="M148" s="30">
        <v>9879774490670</v>
      </c>
      <c r="N148" s="30">
        <v>9835879895466</v>
      </c>
      <c r="O148" s="29">
        <v>3469212455512</v>
      </c>
      <c r="P148" s="29">
        <v>3260169060972</v>
      </c>
      <c r="Q148" s="29">
        <v>3372548861530</v>
      </c>
      <c r="R148" s="29">
        <v>3330099984213</v>
      </c>
      <c r="S148" s="29">
        <v>3054936013850</v>
      </c>
      <c r="T148" s="29">
        <v>3191602750800</v>
      </c>
      <c r="U148" s="29">
        <v>3222561993911</v>
      </c>
      <c r="V148" s="29">
        <v>3120939366840</v>
      </c>
      <c r="W148" s="29">
        <v>3296584233486</v>
      </c>
      <c r="X148" s="29"/>
    </row>
    <row r="149" spans="1:70" s="248" customFormat="1" ht="18">
      <c r="A149" s="245"/>
      <c r="B149" s="246" t="s">
        <v>57</v>
      </c>
      <c r="C149" s="246"/>
      <c r="D149" s="247">
        <v>318173429707</v>
      </c>
      <c r="E149" s="238">
        <v>-134047065925</v>
      </c>
      <c r="F149" s="238">
        <v>63931654286</v>
      </c>
      <c r="G149" s="247">
        <v>161544759790</v>
      </c>
      <c r="H149" s="238">
        <v>-159099557951</v>
      </c>
      <c r="I149" s="238">
        <v>-188970909882</v>
      </c>
      <c r="J149" s="238">
        <v>-997742016652</v>
      </c>
      <c r="K149" s="247">
        <v>-418067579643</v>
      </c>
      <c r="L149" s="238">
        <v>-289387577963</v>
      </c>
      <c r="M149" s="238">
        <v>-121040531231</v>
      </c>
      <c r="N149" s="238">
        <v>-49766360614</v>
      </c>
      <c r="O149" s="238">
        <v>11000000000</v>
      </c>
      <c r="P149" s="238">
        <v>51142206920</v>
      </c>
      <c r="Q149" s="238">
        <v>25273198185</v>
      </c>
      <c r="R149" s="238">
        <v>158094886392</v>
      </c>
      <c r="S149" s="238">
        <v>149795122863</v>
      </c>
      <c r="T149" s="247">
        <v>196404253071</v>
      </c>
      <c r="U149" s="247">
        <v>-183643060951</v>
      </c>
      <c r="V149" s="238">
        <v>-76092569125</v>
      </c>
      <c r="W149" s="247">
        <v>-41509757370</v>
      </c>
      <c r="X149" s="247"/>
    </row>
    <row r="150" spans="1:70" ht="18">
      <c r="B150" s="45" t="s">
        <v>56</v>
      </c>
      <c r="D150" s="29">
        <v>15739881399432</v>
      </c>
      <c r="E150" s="29">
        <v>15571009733150</v>
      </c>
      <c r="F150" s="29">
        <v>15764021593665</v>
      </c>
      <c r="G150" s="29">
        <v>16125557867483</v>
      </c>
      <c r="H150" s="30">
        <v>17000433883127</v>
      </c>
      <c r="I150" s="29">
        <v>16172472862726</v>
      </c>
      <c r="J150" s="29">
        <v>15626956366455</v>
      </c>
      <c r="K150" s="29">
        <v>14850039389857</v>
      </c>
      <c r="L150" s="29">
        <v>14900279553980</v>
      </c>
      <c r="M150" s="29">
        <v>14978491610970</v>
      </c>
      <c r="N150" s="29">
        <v>14886444567240</v>
      </c>
      <c r="O150" s="29">
        <v>14539539040795</v>
      </c>
      <c r="P150" s="29">
        <v>14459152022603</v>
      </c>
      <c r="Q150" s="29">
        <v>13716798330160</v>
      </c>
      <c r="R150" s="29">
        <v>13681221216460</v>
      </c>
      <c r="S150" s="29">
        <v>13528168874940</v>
      </c>
      <c r="T150" s="29">
        <v>13596571178560</v>
      </c>
      <c r="U150" s="29">
        <v>13624851904211</v>
      </c>
      <c r="V150" s="29">
        <v>13564317488170</v>
      </c>
      <c r="W150" s="29">
        <v>13688937894339</v>
      </c>
      <c r="X150" s="29"/>
    </row>
    <row r="151" spans="1:70" ht="18">
      <c r="B151" s="45" t="s">
        <v>55</v>
      </c>
      <c r="D151" s="29">
        <v>8588976859753</v>
      </c>
      <c r="E151" s="29">
        <v>8552892395500</v>
      </c>
      <c r="F151" s="29">
        <v>8682607083730</v>
      </c>
      <c r="G151" s="29">
        <v>8875086191890</v>
      </c>
      <c r="H151" s="29">
        <v>9946647049584</v>
      </c>
      <c r="I151" s="29">
        <v>9275585634154</v>
      </c>
      <c r="J151" s="29">
        <v>9737683499243</v>
      </c>
      <c r="K151" s="29">
        <v>10629831146672</v>
      </c>
      <c r="L151" s="30">
        <v>10976890559460</v>
      </c>
      <c r="M151" s="30">
        <v>11172826191760</v>
      </c>
      <c r="N151" s="29">
        <v>11129670554770</v>
      </c>
      <c r="O151" s="29">
        <v>10355441282714</v>
      </c>
      <c r="P151" s="29">
        <v>10225493428587</v>
      </c>
      <c r="Q151" s="29">
        <v>9174044127352</v>
      </c>
      <c r="R151" s="29">
        <v>9249407295020</v>
      </c>
      <c r="S151" s="30">
        <v>9302636472830</v>
      </c>
      <c r="T151" s="30">
        <v>9192469387840</v>
      </c>
      <c r="U151" s="30">
        <v>9325451888991</v>
      </c>
      <c r="V151" s="30">
        <v>9408386059330</v>
      </c>
      <c r="W151" s="30">
        <v>9572111264549</v>
      </c>
      <c r="X151" s="30"/>
    </row>
    <row r="152" spans="1:70" ht="17">
      <c r="A152" s="76">
        <v>10</v>
      </c>
      <c r="B152" s="51" t="s">
        <v>158</v>
      </c>
      <c r="C152" s="50" t="s">
        <v>159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75"/>
    </row>
    <row r="153" spans="1:70" ht="18">
      <c r="B153" s="45" t="s">
        <v>58</v>
      </c>
      <c r="D153" s="29">
        <v>755894</v>
      </c>
      <c r="E153" s="29">
        <v>755894</v>
      </c>
      <c r="F153" s="29">
        <v>782905</v>
      </c>
      <c r="G153" s="30">
        <v>474261</v>
      </c>
      <c r="H153" s="29">
        <v>788453</v>
      </c>
      <c r="I153" s="29">
        <v>695739</v>
      </c>
      <c r="J153" s="29">
        <v>783106</v>
      </c>
      <c r="K153" s="30">
        <v>695360</v>
      </c>
      <c r="L153" s="29">
        <v>640210</v>
      </c>
      <c r="M153" s="29">
        <v>579151</v>
      </c>
      <c r="N153" s="29">
        <v>591544</v>
      </c>
      <c r="O153" s="29">
        <v>432800</v>
      </c>
      <c r="P153" s="30">
        <v>480057</v>
      </c>
      <c r="Q153" s="29">
        <v>514598</v>
      </c>
      <c r="R153" s="29">
        <v>493385</v>
      </c>
      <c r="S153" s="29">
        <v>558960</v>
      </c>
      <c r="T153" s="29">
        <v>527270</v>
      </c>
      <c r="U153" s="29">
        <v>492851</v>
      </c>
      <c r="V153" s="29">
        <v>513630</v>
      </c>
      <c r="W153" s="29">
        <v>496669</v>
      </c>
      <c r="X153" s="2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  <c r="AM153" s="179"/>
      <c r="AN153" s="179"/>
      <c r="AO153" s="179"/>
      <c r="AP153" s="179"/>
      <c r="AQ153" s="179"/>
      <c r="AR153" s="179"/>
      <c r="AS153" s="179"/>
      <c r="AT153" s="179"/>
      <c r="AU153" s="179"/>
      <c r="AV153" s="179"/>
      <c r="AW153" s="179"/>
      <c r="AX153" s="179"/>
      <c r="AY153" s="179"/>
      <c r="AZ153" s="179"/>
      <c r="BA153" s="179"/>
      <c r="BB153" s="179"/>
      <c r="BC153" s="179"/>
      <c r="BD153" s="179"/>
      <c r="BE153" s="179"/>
      <c r="BF153" s="179"/>
      <c r="BG153" s="179"/>
      <c r="BH153" s="179"/>
      <c r="BI153" s="179"/>
      <c r="BJ153" s="179"/>
      <c r="BK153" s="179"/>
      <c r="BL153" s="179"/>
      <c r="BM153" s="179"/>
      <c r="BN153" s="179"/>
      <c r="BO153" s="179"/>
      <c r="BP153" s="179"/>
      <c r="BQ153" s="179"/>
      <c r="BR153" s="179"/>
    </row>
    <row r="154" spans="1:70" ht="18">
      <c r="B154" s="45" t="s">
        <v>59</v>
      </c>
      <c r="D154" s="29">
        <v>2067003</v>
      </c>
      <c r="E154" s="29">
        <v>2067003</v>
      </c>
      <c r="F154" s="30">
        <v>2168675</v>
      </c>
      <c r="G154" s="29">
        <v>1152923</v>
      </c>
      <c r="H154" s="29">
        <v>1141798</v>
      </c>
      <c r="I154" s="29">
        <v>895418</v>
      </c>
      <c r="J154" s="29">
        <v>991781</v>
      </c>
      <c r="K154" s="29">
        <v>855449</v>
      </c>
      <c r="L154" s="29">
        <v>800858</v>
      </c>
      <c r="M154" s="29">
        <v>759023</v>
      </c>
      <c r="N154" s="29">
        <v>796469</v>
      </c>
      <c r="O154" s="29">
        <v>720020</v>
      </c>
      <c r="P154" s="29">
        <v>766379</v>
      </c>
      <c r="Q154" s="29">
        <v>804379</v>
      </c>
      <c r="R154" s="29">
        <v>796849</v>
      </c>
      <c r="S154" s="29">
        <v>827907</v>
      </c>
      <c r="T154" s="29">
        <v>788023</v>
      </c>
      <c r="U154" s="29">
        <v>755501</v>
      </c>
      <c r="V154" s="29">
        <v>746182</v>
      </c>
      <c r="W154" s="29">
        <v>659907</v>
      </c>
      <c r="X154" s="2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  <c r="AM154" s="179"/>
      <c r="AN154" s="179"/>
      <c r="AO154" s="179"/>
      <c r="AP154" s="179"/>
      <c r="AQ154" s="179"/>
      <c r="AR154" s="179"/>
      <c r="AS154" s="179"/>
      <c r="AT154" s="179"/>
      <c r="AU154" s="179"/>
      <c r="AV154" s="179"/>
      <c r="AW154" s="179"/>
      <c r="AX154" s="179"/>
      <c r="AY154" s="179"/>
      <c r="AZ154" s="179"/>
      <c r="BA154" s="179"/>
      <c r="BB154" s="179"/>
      <c r="BC154" s="179"/>
      <c r="BD154" s="179"/>
      <c r="BE154" s="179"/>
      <c r="BF154" s="179"/>
      <c r="BG154" s="179"/>
      <c r="BH154" s="179"/>
      <c r="BI154" s="179"/>
      <c r="BJ154" s="179"/>
      <c r="BK154" s="179"/>
      <c r="BL154" s="179"/>
      <c r="BM154" s="179"/>
      <c r="BN154" s="179"/>
      <c r="BO154" s="179"/>
      <c r="BP154" s="179"/>
      <c r="BQ154" s="179"/>
      <c r="BR154" s="179"/>
    </row>
    <row r="155" spans="1:70" s="248" customFormat="1" ht="18">
      <c r="A155" s="245"/>
      <c r="B155" s="246" t="s">
        <v>57</v>
      </c>
      <c r="C155" s="246"/>
      <c r="D155" s="238">
        <v>-11050</v>
      </c>
      <c r="E155" s="238">
        <v>-50190</v>
      </c>
      <c r="F155" s="247">
        <v>-89252</v>
      </c>
      <c r="G155" s="238">
        <v>1285268</v>
      </c>
      <c r="H155" s="238">
        <v>2705</v>
      </c>
      <c r="I155" s="238">
        <v>-36688</v>
      </c>
      <c r="J155" s="238">
        <v>-25650</v>
      </c>
      <c r="K155" s="247">
        <v>1264605</v>
      </c>
      <c r="L155" s="238">
        <v>2195</v>
      </c>
      <c r="M155" s="238">
        <v>12115</v>
      </c>
      <c r="N155" s="238">
        <v>1462</v>
      </c>
      <c r="O155" s="238">
        <v>-10010</v>
      </c>
      <c r="P155" s="238">
        <v>-13297</v>
      </c>
      <c r="Q155" s="238">
        <v>-11689</v>
      </c>
      <c r="R155" s="238">
        <v>959</v>
      </c>
      <c r="S155" s="247">
        <v>-38332</v>
      </c>
      <c r="T155" s="238">
        <v>2101</v>
      </c>
      <c r="U155" s="238">
        <v>-7152</v>
      </c>
      <c r="V155" s="238">
        <v>19429</v>
      </c>
      <c r="W155" s="247">
        <v>4418</v>
      </c>
      <c r="X155" s="247"/>
      <c r="Z155" s="252"/>
      <c r="AA155" s="252"/>
      <c r="AB155" s="252"/>
      <c r="AC155" s="252"/>
      <c r="AD155" s="252"/>
      <c r="AE155" s="252"/>
      <c r="AF155" s="252"/>
      <c r="AG155" s="252"/>
      <c r="AH155" s="252"/>
      <c r="AI155" s="252"/>
      <c r="AJ155" s="252"/>
      <c r="AK155" s="252"/>
      <c r="AL155" s="252"/>
      <c r="AM155" s="252"/>
      <c r="AN155" s="252"/>
      <c r="AO155" s="252"/>
      <c r="AP155" s="252"/>
      <c r="AQ155" s="252"/>
      <c r="AR155" s="252"/>
      <c r="AS155" s="252"/>
      <c r="AT155" s="252"/>
      <c r="AU155" s="252"/>
      <c r="AV155" s="252"/>
      <c r="AW155" s="252"/>
      <c r="AX155" s="252"/>
      <c r="AY155" s="252"/>
      <c r="AZ155" s="252"/>
      <c r="BA155" s="252"/>
      <c r="BB155" s="252"/>
      <c r="BC155" s="252"/>
      <c r="BD155" s="252"/>
      <c r="BE155" s="252"/>
      <c r="BF155" s="252"/>
      <c r="BG155" s="252"/>
      <c r="BH155" s="252"/>
      <c r="BI155" s="252"/>
      <c r="BJ155" s="252"/>
      <c r="BK155" s="252"/>
      <c r="BL155" s="252"/>
      <c r="BM155" s="252"/>
      <c r="BN155" s="252"/>
      <c r="BO155" s="252"/>
      <c r="BP155" s="252"/>
      <c r="BQ155" s="252"/>
      <c r="BR155" s="252"/>
    </row>
    <row r="156" spans="1:70" ht="18">
      <c r="B156" s="45" t="s">
        <v>56</v>
      </c>
      <c r="D156" s="30">
        <v>1756707</v>
      </c>
      <c r="E156" s="30">
        <v>1756707</v>
      </c>
      <c r="F156" s="30">
        <v>1771303</v>
      </c>
      <c r="G156" s="29">
        <v>1868966</v>
      </c>
      <c r="H156" s="30">
        <v>2165669</v>
      </c>
      <c r="I156" s="30">
        <v>2047640</v>
      </c>
      <c r="J156" s="30">
        <v>2123526</v>
      </c>
      <c r="K156" s="29">
        <v>2011557</v>
      </c>
      <c r="L156" s="29">
        <v>1959286</v>
      </c>
      <c r="M156" s="29">
        <v>1939830</v>
      </c>
      <c r="N156" s="29">
        <v>1952799</v>
      </c>
      <c r="O156" s="29">
        <v>1761634</v>
      </c>
      <c r="P156" s="29">
        <v>1795669</v>
      </c>
      <c r="Q156" s="29">
        <v>1801258</v>
      </c>
      <c r="R156" s="29">
        <v>1774242</v>
      </c>
      <c r="S156" s="29">
        <v>1826350</v>
      </c>
      <c r="T156" s="29">
        <v>1788304</v>
      </c>
      <c r="U156" s="29">
        <v>1743403</v>
      </c>
      <c r="V156" s="29">
        <v>1750760</v>
      </c>
      <c r="W156" s="29">
        <v>1850004</v>
      </c>
      <c r="X156" s="2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  <c r="AU156" s="179"/>
      <c r="AV156" s="179"/>
      <c r="AW156" s="179"/>
      <c r="AX156" s="179"/>
      <c r="AY156" s="179"/>
      <c r="AZ156" s="179"/>
      <c r="BA156" s="179"/>
      <c r="BB156" s="179"/>
      <c r="BC156" s="179"/>
      <c r="BD156" s="179"/>
      <c r="BE156" s="179"/>
      <c r="BF156" s="179"/>
      <c r="BG156" s="179"/>
      <c r="BH156" s="179"/>
      <c r="BI156" s="179"/>
      <c r="BJ156" s="179"/>
      <c r="BK156" s="179"/>
      <c r="BL156" s="179"/>
      <c r="BM156" s="179"/>
      <c r="BN156" s="179"/>
      <c r="BO156" s="179"/>
      <c r="BP156" s="179"/>
      <c r="BQ156" s="179"/>
      <c r="BR156" s="179"/>
    </row>
    <row r="157" spans="1:70" ht="18">
      <c r="B157" s="45" t="s">
        <v>55</v>
      </c>
      <c r="D157" s="29">
        <v>5268889</v>
      </c>
      <c r="E157" s="29">
        <v>5268889</v>
      </c>
      <c r="F157" s="30">
        <v>5372737</v>
      </c>
      <c r="G157" s="29">
        <v>3526819</v>
      </c>
      <c r="H157" s="29">
        <v>3489158</v>
      </c>
      <c r="I157" s="29">
        <v>3405430</v>
      </c>
      <c r="J157" s="29">
        <v>3505354</v>
      </c>
      <c r="K157" s="29">
        <v>1182049</v>
      </c>
      <c r="L157" s="29">
        <v>1125979</v>
      </c>
      <c r="M157" s="29">
        <v>1099922</v>
      </c>
      <c r="N157" s="29">
        <v>1107585</v>
      </c>
      <c r="O157" s="29">
        <v>942744</v>
      </c>
      <c r="P157" s="29">
        <v>988483</v>
      </c>
      <c r="Q157" s="30">
        <v>996927</v>
      </c>
      <c r="R157" s="30">
        <v>978148</v>
      </c>
      <c r="S157" s="29">
        <v>1047257</v>
      </c>
      <c r="T157" s="29">
        <v>1004954</v>
      </c>
      <c r="U157" s="30">
        <v>965047</v>
      </c>
      <c r="V157" s="30">
        <v>951203</v>
      </c>
      <c r="W157" s="30">
        <v>881806</v>
      </c>
      <c r="X157" s="30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  <c r="AQ157" s="179"/>
      <c r="AR157" s="179"/>
      <c r="AS157" s="179"/>
      <c r="AT157" s="179"/>
      <c r="AU157" s="179"/>
      <c r="AV157" s="179"/>
      <c r="AW157" s="179"/>
      <c r="AX157" s="179"/>
      <c r="AY157" s="179"/>
      <c r="AZ157" s="179"/>
      <c r="BA157" s="179"/>
      <c r="BB157" s="179"/>
      <c r="BC157" s="179"/>
      <c r="BD157" s="179"/>
      <c r="BE157" s="179"/>
      <c r="BF157" s="179"/>
      <c r="BG157" s="179"/>
      <c r="BH157" s="179"/>
      <c r="BI157" s="179"/>
      <c r="BJ157" s="179"/>
      <c r="BK157" s="179"/>
      <c r="BL157" s="179"/>
      <c r="BM157" s="179"/>
      <c r="BN157" s="179"/>
      <c r="BO157" s="179"/>
      <c r="BP157" s="179"/>
      <c r="BQ157" s="179"/>
      <c r="BR157" s="179"/>
    </row>
    <row r="158" spans="1:70" ht="17">
      <c r="A158" s="76">
        <v>11</v>
      </c>
      <c r="B158" s="50" t="s">
        <v>160</v>
      </c>
      <c r="C158" s="50" t="s">
        <v>161</v>
      </c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75"/>
    </row>
    <row r="159" spans="1:70" ht="18">
      <c r="B159" s="45" t="s">
        <v>58</v>
      </c>
      <c r="D159" s="29">
        <v>8644023</v>
      </c>
      <c r="E159" s="29">
        <v>7691295</v>
      </c>
      <c r="F159" s="29">
        <v>10627483</v>
      </c>
      <c r="G159" s="29">
        <v>12444795</v>
      </c>
      <c r="H159" s="29">
        <v>11921416</v>
      </c>
      <c r="I159" s="29">
        <v>11084767</v>
      </c>
      <c r="J159" s="29">
        <v>10238122</v>
      </c>
      <c r="K159" s="29">
        <v>9594951</v>
      </c>
      <c r="L159" s="29">
        <v>10561919</v>
      </c>
      <c r="M159" s="30">
        <v>18225605</v>
      </c>
      <c r="N159" s="30">
        <v>17550822</v>
      </c>
      <c r="O159" s="29">
        <v>11499439</v>
      </c>
      <c r="P159" s="29">
        <v>13480055</v>
      </c>
      <c r="Q159" s="29">
        <v>16594351</v>
      </c>
      <c r="R159" s="29">
        <v>12226275</v>
      </c>
      <c r="S159" s="30">
        <v>18683115</v>
      </c>
      <c r="T159" s="30">
        <v>20649119</v>
      </c>
      <c r="U159" s="29">
        <v>14585318</v>
      </c>
      <c r="V159" s="29">
        <v>14604268</v>
      </c>
      <c r="W159" s="29">
        <v>15479659</v>
      </c>
      <c r="X159" s="2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  <c r="AQ159" s="179"/>
      <c r="AR159" s="179"/>
      <c r="AS159" s="179"/>
      <c r="AT159" s="179"/>
      <c r="AU159" s="179"/>
      <c r="AV159" s="179"/>
      <c r="AW159" s="179"/>
      <c r="AX159" s="179"/>
      <c r="AY159" s="179"/>
      <c r="AZ159" s="179"/>
      <c r="BA159" s="179"/>
      <c r="BB159" s="179"/>
      <c r="BC159" s="179"/>
      <c r="BD159" s="179"/>
      <c r="BE159" s="179"/>
    </row>
    <row r="160" spans="1:70" ht="18">
      <c r="B160" s="45" t="s">
        <v>59</v>
      </c>
      <c r="D160" s="29">
        <v>21091965</v>
      </c>
      <c r="E160" s="29">
        <v>20332933</v>
      </c>
      <c r="F160" s="29">
        <v>21190706</v>
      </c>
      <c r="G160" s="29">
        <v>22129440</v>
      </c>
      <c r="H160" s="30">
        <v>20506396</v>
      </c>
      <c r="I160" s="30">
        <v>20565492</v>
      </c>
      <c r="J160" s="30">
        <v>20914697</v>
      </c>
      <c r="K160" s="30">
        <v>22658094</v>
      </c>
      <c r="L160" s="29">
        <v>22831392</v>
      </c>
      <c r="M160" s="29">
        <v>25467654</v>
      </c>
      <c r="N160" s="29">
        <v>26764716</v>
      </c>
      <c r="O160" s="29">
        <v>28658152</v>
      </c>
      <c r="P160" s="30">
        <v>34694022</v>
      </c>
      <c r="Q160" s="29">
        <v>35565272</v>
      </c>
      <c r="R160" s="30">
        <v>35197164</v>
      </c>
      <c r="S160" s="30">
        <v>35874074</v>
      </c>
      <c r="T160" s="30">
        <v>37338681</v>
      </c>
      <c r="U160" s="29">
        <v>32586002</v>
      </c>
      <c r="V160" s="29">
        <v>33028348</v>
      </c>
      <c r="W160" s="29">
        <v>34134343</v>
      </c>
      <c r="X160" s="2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  <c r="AN160" s="179"/>
      <c r="AO160" s="179"/>
      <c r="AP160" s="179"/>
      <c r="AQ160" s="179"/>
      <c r="AR160" s="179"/>
      <c r="AS160" s="179"/>
      <c r="AT160" s="179"/>
      <c r="AU160" s="179"/>
      <c r="AV160" s="179"/>
      <c r="AW160" s="179"/>
      <c r="AX160" s="179"/>
      <c r="AY160" s="179"/>
      <c r="AZ160" s="179"/>
      <c r="BA160" s="179"/>
      <c r="BB160" s="179"/>
      <c r="BC160" s="179"/>
      <c r="BD160" s="179"/>
      <c r="BE160" s="179"/>
    </row>
    <row r="161" spans="1:70" s="248" customFormat="1" ht="18">
      <c r="A161" s="245"/>
      <c r="B161" s="246" t="s">
        <v>57</v>
      </c>
      <c r="C161" s="246"/>
      <c r="D161" s="238">
        <v>-280527</v>
      </c>
      <c r="E161" s="238">
        <v>10000</v>
      </c>
      <c r="F161" s="238">
        <v>14339</v>
      </c>
      <c r="G161" s="238">
        <v>1886560</v>
      </c>
      <c r="H161" s="238">
        <v>-593069</v>
      </c>
      <c r="I161" s="238">
        <v>275408</v>
      </c>
      <c r="J161" s="247">
        <v>-100364</v>
      </c>
      <c r="K161" s="247">
        <v>-212135</v>
      </c>
      <c r="L161" s="247">
        <v>203133</v>
      </c>
      <c r="M161" s="247">
        <v>5438067</v>
      </c>
      <c r="N161" s="247">
        <v>224909</v>
      </c>
      <c r="O161" s="247">
        <v>994012</v>
      </c>
      <c r="P161" s="238">
        <v>164238</v>
      </c>
      <c r="Q161" s="253">
        <v>3402666</v>
      </c>
      <c r="R161" s="253">
        <v>500000</v>
      </c>
      <c r="S161" s="238">
        <v>1303299</v>
      </c>
      <c r="T161" s="238">
        <v>993929</v>
      </c>
      <c r="U161" s="238">
        <v>1049983</v>
      </c>
      <c r="V161" s="238">
        <v>1200000</v>
      </c>
      <c r="W161" s="247">
        <v>1531829</v>
      </c>
      <c r="X161" s="247"/>
      <c r="AA161" s="252"/>
      <c r="AB161" s="252"/>
      <c r="AC161" s="252"/>
      <c r="AD161" s="252"/>
      <c r="AE161" s="252"/>
      <c r="AF161" s="252"/>
      <c r="AG161" s="252"/>
      <c r="AH161" s="252"/>
      <c r="AI161" s="252"/>
      <c r="AJ161" s="252"/>
      <c r="AK161" s="252"/>
      <c r="AL161" s="252"/>
      <c r="AM161" s="252"/>
      <c r="AN161" s="252"/>
      <c r="AO161" s="252"/>
      <c r="AP161" s="252"/>
      <c r="AQ161" s="252"/>
      <c r="AR161" s="252"/>
      <c r="AS161" s="252"/>
      <c r="AT161" s="252"/>
      <c r="AU161" s="252"/>
      <c r="AV161" s="252"/>
      <c r="AW161" s="252"/>
      <c r="AX161" s="252"/>
      <c r="AY161" s="252"/>
      <c r="AZ161" s="252"/>
      <c r="BA161" s="252"/>
      <c r="BB161" s="252"/>
      <c r="BC161" s="252"/>
      <c r="BD161" s="252"/>
      <c r="BE161" s="252"/>
    </row>
    <row r="162" spans="1:70" ht="18">
      <c r="B162" s="45" t="s">
        <v>56</v>
      </c>
      <c r="D162" s="29">
        <v>55629859</v>
      </c>
      <c r="E162" s="29">
        <v>55862548</v>
      </c>
      <c r="F162" s="29">
        <v>58372460</v>
      </c>
      <c r="G162" s="29">
        <v>62813000</v>
      </c>
      <c r="H162" s="29">
        <v>60878651</v>
      </c>
      <c r="I162" s="30">
        <v>61079475</v>
      </c>
      <c r="J162" s="30">
        <v>61843098</v>
      </c>
      <c r="K162" s="30">
        <v>62778740</v>
      </c>
      <c r="L162" s="30">
        <v>62891399</v>
      </c>
      <c r="M162" s="30">
        <v>70385556</v>
      </c>
      <c r="N162" s="30">
        <v>69845540</v>
      </c>
      <c r="O162" s="30">
        <v>63397148</v>
      </c>
      <c r="P162" s="30">
        <v>100937285</v>
      </c>
      <c r="Q162" s="30">
        <v>104432908</v>
      </c>
      <c r="R162" s="30">
        <v>102959170</v>
      </c>
      <c r="S162" s="30">
        <v>113657346</v>
      </c>
      <c r="T162" s="30">
        <v>114965913</v>
      </c>
      <c r="U162" s="29">
        <v>109895528</v>
      </c>
      <c r="V162" s="29">
        <v>112205112</v>
      </c>
      <c r="W162" s="29">
        <v>114722249</v>
      </c>
      <c r="X162" s="2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  <c r="AN162" s="179"/>
      <c r="AO162" s="179"/>
      <c r="AP162" s="179"/>
      <c r="AQ162" s="179"/>
      <c r="AR162" s="179"/>
      <c r="AS162" s="179"/>
      <c r="AT162" s="179"/>
      <c r="AU162" s="179"/>
      <c r="AV162" s="179"/>
      <c r="AW162" s="179"/>
      <c r="AX162" s="179"/>
      <c r="AY162" s="179"/>
      <c r="AZ162" s="179"/>
      <c r="BA162" s="179"/>
      <c r="BB162" s="179"/>
      <c r="BC162" s="179"/>
      <c r="BD162" s="179"/>
      <c r="BE162" s="179"/>
    </row>
    <row r="163" spans="1:70" ht="18">
      <c r="B163" s="45" t="s">
        <v>55</v>
      </c>
      <c r="D163" s="29">
        <v>43769996</v>
      </c>
      <c r="E163" s="29">
        <v>44087352</v>
      </c>
      <c r="F163" s="29">
        <v>47481386</v>
      </c>
      <c r="G163" s="29">
        <v>49105807</v>
      </c>
      <c r="H163" s="29">
        <v>47735273</v>
      </c>
      <c r="I163" s="29">
        <v>47693460</v>
      </c>
      <c r="J163" s="29">
        <v>48554809</v>
      </c>
      <c r="K163" s="29">
        <v>49865344</v>
      </c>
      <c r="L163" s="30">
        <v>49745067</v>
      </c>
      <c r="M163" s="30">
        <v>51833279</v>
      </c>
      <c r="N163" s="30">
        <v>52105741</v>
      </c>
      <c r="O163" s="29">
        <v>54216693</v>
      </c>
      <c r="P163" s="30">
        <v>75187336</v>
      </c>
      <c r="Q163" s="29">
        <v>74156271</v>
      </c>
      <c r="R163" s="29">
        <v>75648137</v>
      </c>
      <c r="S163" s="30">
        <v>85314350</v>
      </c>
      <c r="T163" s="30">
        <v>85697956</v>
      </c>
      <c r="U163" s="29">
        <v>81735057</v>
      </c>
      <c r="V163" s="30">
        <v>83163996</v>
      </c>
      <c r="W163" s="29">
        <v>81013457</v>
      </c>
      <c r="X163" s="2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79"/>
      <c r="AT163" s="179"/>
    </row>
    <row r="164" spans="1:70" ht="17">
      <c r="A164" s="76">
        <v>12</v>
      </c>
      <c r="B164" s="50" t="s">
        <v>162</v>
      </c>
      <c r="C164" s="50" t="s">
        <v>163</v>
      </c>
      <c r="D164" s="21" t="s">
        <v>140</v>
      </c>
      <c r="E164" s="21">
        <v>2019</v>
      </c>
      <c r="F164" s="21"/>
      <c r="G164" s="25"/>
      <c r="H164" s="21"/>
      <c r="I164" s="21"/>
      <c r="J164" s="21"/>
      <c r="K164" s="21"/>
      <c r="L164" s="21"/>
      <c r="M164" s="21"/>
      <c r="N164" s="21"/>
      <c r="O164" s="25"/>
      <c r="P164" s="21"/>
      <c r="Q164" s="21"/>
      <c r="R164" s="21"/>
      <c r="S164" s="25"/>
      <c r="T164" s="21"/>
      <c r="U164" s="21"/>
      <c r="V164" s="21"/>
      <c r="W164" s="25"/>
      <c r="X164" s="75"/>
    </row>
    <row r="165" spans="1:70" ht="18">
      <c r="B165" s="45" t="s">
        <v>58</v>
      </c>
      <c r="D165" s="29">
        <v>989720</v>
      </c>
      <c r="E165" s="29">
        <v>771349</v>
      </c>
      <c r="F165" s="29">
        <v>848840</v>
      </c>
      <c r="G165" s="30">
        <v>1114015</v>
      </c>
      <c r="H165" s="29">
        <v>690608</v>
      </c>
      <c r="I165" s="30">
        <v>593735</v>
      </c>
      <c r="J165" s="30">
        <v>622285</v>
      </c>
      <c r="K165" s="29">
        <v>572816</v>
      </c>
      <c r="L165" s="29">
        <v>835342</v>
      </c>
      <c r="M165" s="29">
        <v>817840</v>
      </c>
      <c r="N165" s="29">
        <v>947221</v>
      </c>
      <c r="O165" s="29">
        <v>1050307</v>
      </c>
      <c r="P165" s="29">
        <v>973082</v>
      </c>
      <c r="Q165" s="30">
        <v>1102769</v>
      </c>
      <c r="R165" s="29">
        <v>1081099</v>
      </c>
      <c r="S165" s="29">
        <v>941511</v>
      </c>
      <c r="T165" s="29">
        <v>1072512</v>
      </c>
      <c r="U165" s="29">
        <v>940138</v>
      </c>
      <c r="V165" s="29">
        <v>790688</v>
      </c>
      <c r="W165" s="30">
        <v>726021</v>
      </c>
      <c r="X165" s="30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  <c r="AM165" s="179"/>
      <c r="AN165" s="179"/>
      <c r="AO165" s="179"/>
      <c r="AP165" s="179"/>
      <c r="AQ165" s="179"/>
      <c r="AR165" s="179"/>
      <c r="AS165" s="179"/>
      <c r="AT165" s="179"/>
      <c r="AU165" s="179"/>
      <c r="AV165" s="179"/>
      <c r="AW165" s="179"/>
      <c r="AX165" s="179"/>
      <c r="AY165" s="179"/>
      <c r="AZ165" s="179"/>
      <c r="BA165" s="179"/>
      <c r="BB165" s="179"/>
      <c r="BC165" s="179"/>
      <c r="BD165" s="179"/>
      <c r="BE165" s="179"/>
      <c r="BF165" s="179"/>
      <c r="BG165" s="179"/>
      <c r="BH165" s="179"/>
      <c r="BI165" s="179"/>
      <c r="BJ165" s="179"/>
      <c r="BK165" s="179"/>
      <c r="BL165" s="179"/>
      <c r="BM165" s="179"/>
      <c r="BN165" s="179"/>
      <c r="BO165" s="179"/>
      <c r="BP165" s="179"/>
      <c r="BQ165" s="179"/>
      <c r="BR165" s="179"/>
    </row>
    <row r="166" spans="1:70" ht="18">
      <c r="B166" s="45" t="s">
        <v>59</v>
      </c>
      <c r="D166" s="29">
        <v>1598675</v>
      </c>
      <c r="E166" s="29">
        <v>1432700</v>
      </c>
      <c r="F166" s="29">
        <v>1663600</v>
      </c>
      <c r="G166" s="29">
        <v>1034494</v>
      </c>
      <c r="H166" s="29">
        <v>2493429</v>
      </c>
      <c r="I166" s="29">
        <v>806584</v>
      </c>
      <c r="J166" s="29">
        <v>808726</v>
      </c>
      <c r="K166" s="29">
        <v>1100737</v>
      </c>
      <c r="L166" s="29">
        <v>827496</v>
      </c>
      <c r="M166" s="29">
        <v>776649</v>
      </c>
      <c r="N166" s="29">
        <v>1564953</v>
      </c>
      <c r="O166" s="29">
        <v>1564953</v>
      </c>
      <c r="P166" s="29">
        <v>1486779</v>
      </c>
      <c r="Q166" s="29">
        <v>1581209</v>
      </c>
      <c r="R166" s="29">
        <v>1549685</v>
      </c>
      <c r="S166" s="29">
        <v>1424860</v>
      </c>
      <c r="T166" s="29">
        <v>2399612</v>
      </c>
      <c r="U166" s="29">
        <v>2322084</v>
      </c>
      <c r="V166" s="29">
        <v>2188905</v>
      </c>
      <c r="W166" s="29">
        <v>2089277</v>
      </c>
      <c r="X166" s="2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/>
      <c r="AP166" s="179"/>
      <c r="AQ166" s="179"/>
      <c r="AR166" s="179"/>
      <c r="AS166" s="179"/>
      <c r="AT166" s="179"/>
      <c r="AU166" s="179"/>
      <c r="AV166" s="179"/>
      <c r="AW166" s="179"/>
      <c r="AX166" s="179"/>
      <c r="AY166" s="179"/>
      <c r="AZ166" s="179"/>
      <c r="BA166" s="179"/>
      <c r="BB166" s="179"/>
      <c r="BC166" s="179"/>
      <c r="BD166" s="179"/>
      <c r="BE166" s="179"/>
      <c r="BF166" s="179"/>
      <c r="BG166" s="179"/>
      <c r="BH166" s="179"/>
      <c r="BI166" s="179"/>
      <c r="BJ166" s="179"/>
      <c r="BK166" s="179"/>
      <c r="BL166" s="179"/>
      <c r="BM166" s="179"/>
      <c r="BN166" s="179"/>
      <c r="BO166" s="179"/>
      <c r="BP166" s="179"/>
      <c r="BQ166" s="179"/>
      <c r="BR166" s="179"/>
    </row>
    <row r="167" spans="1:70" s="248" customFormat="1" ht="18">
      <c r="A167" s="245"/>
      <c r="B167" s="246" t="s">
        <v>57</v>
      </c>
      <c r="C167" s="246"/>
      <c r="D167" s="238"/>
      <c r="E167" s="238">
        <v>-63997</v>
      </c>
      <c r="F167" s="238">
        <v>-73642</v>
      </c>
      <c r="G167" s="238">
        <v>-77760</v>
      </c>
      <c r="H167" s="238">
        <v>-289991</v>
      </c>
      <c r="I167" s="238">
        <v>2672</v>
      </c>
      <c r="J167" s="238">
        <v>2000</v>
      </c>
      <c r="K167" s="238">
        <v>-30647</v>
      </c>
      <c r="L167" s="238">
        <v>48610</v>
      </c>
      <c r="M167" s="238">
        <v>24206</v>
      </c>
      <c r="N167" s="238">
        <v>8822</v>
      </c>
      <c r="O167" s="238">
        <v>26518</v>
      </c>
      <c r="P167" s="238">
        <v>2587</v>
      </c>
      <c r="Q167" s="238">
        <v>26548</v>
      </c>
      <c r="R167" s="238">
        <v>52102</v>
      </c>
      <c r="S167" s="238">
        <v>3524</v>
      </c>
      <c r="T167" s="238">
        <v>19000</v>
      </c>
      <c r="U167" s="238">
        <v>-10358</v>
      </c>
      <c r="V167" s="238">
        <v>-27739</v>
      </c>
      <c r="W167" s="238">
        <v>-21270</v>
      </c>
      <c r="X167" s="238"/>
      <c r="Y167" s="252"/>
      <c r="Z167" s="252"/>
      <c r="AA167" s="252"/>
      <c r="AB167" s="252"/>
      <c r="AC167" s="252"/>
      <c r="AD167" s="252"/>
      <c r="AE167" s="252"/>
      <c r="AF167" s="252"/>
      <c r="AG167" s="252"/>
      <c r="AH167" s="252"/>
      <c r="AI167" s="252"/>
      <c r="AJ167" s="252"/>
      <c r="AK167" s="252"/>
      <c r="AL167" s="252"/>
      <c r="AM167" s="252"/>
      <c r="AN167" s="252"/>
      <c r="AO167" s="252"/>
      <c r="AP167" s="252"/>
      <c r="AQ167" s="252"/>
      <c r="AR167" s="252"/>
      <c r="AS167" s="252"/>
      <c r="AT167" s="252"/>
      <c r="AU167" s="252"/>
      <c r="AV167" s="252"/>
      <c r="AW167" s="252"/>
      <c r="AX167" s="252"/>
      <c r="AY167" s="252"/>
      <c r="AZ167" s="252"/>
      <c r="BA167" s="252"/>
      <c r="BB167" s="252"/>
      <c r="BC167" s="252"/>
      <c r="BD167" s="252"/>
      <c r="BE167" s="252"/>
      <c r="BF167" s="252"/>
      <c r="BG167" s="252"/>
      <c r="BH167" s="252"/>
      <c r="BI167" s="252"/>
      <c r="BJ167" s="252"/>
      <c r="BK167" s="252"/>
      <c r="BL167" s="252"/>
      <c r="BM167" s="252"/>
      <c r="BN167" s="252"/>
      <c r="BO167" s="252"/>
      <c r="BP167" s="252"/>
      <c r="BQ167" s="252"/>
      <c r="BR167" s="252"/>
    </row>
    <row r="168" spans="1:70" ht="18">
      <c r="B168" s="45" t="s">
        <v>56</v>
      </c>
      <c r="D168" s="29">
        <v>4298318</v>
      </c>
      <c r="E168" s="29">
        <v>4162076</v>
      </c>
      <c r="F168" s="29">
        <v>4270829</v>
      </c>
      <c r="G168" s="29">
        <v>4297548</v>
      </c>
      <c r="H168" s="29">
        <v>3286723</v>
      </c>
      <c r="I168" s="29">
        <v>2929603</v>
      </c>
      <c r="J168" s="29">
        <v>3324157</v>
      </c>
      <c r="K168" s="29">
        <v>3220364</v>
      </c>
      <c r="L168" s="29">
        <v>3486349</v>
      </c>
      <c r="M168" s="29">
        <v>3454929</v>
      </c>
      <c r="N168" s="29">
        <v>3590753</v>
      </c>
      <c r="O168" s="29">
        <v>3742961</v>
      </c>
      <c r="P168" s="29">
        <v>3773676</v>
      </c>
      <c r="Q168" s="29">
        <v>3915316</v>
      </c>
      <c r="R168" s="29">
        <v>3892740</v>
      </c>
      <c r="S168" s="29">
        <v>3729902</v>
      </c>
      <c r="T168" s="29">
        <v>3162434</v>
      </c>
      <c r="U168" s="29">
        <v>3147681</v>
      </c>
      <c r="V168" s="29">
        <v>3021803</v>
      </c>
      <c r="W168" s="29">
        <v>2922908</v>
      </c>
      <c r="X168" s="2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179"/>
      <c r="AU168" s="179"/>
      <c r="AV168" s="179"/>
      <c r="AW168" s="179"/>
      <c r="AX168" s="179"/>
      <c r="AY168" s="179"/>
      <c r="AZ168" s="179"/>
      <c r="BA168" s="179"/>
      <c r="BB168" s="179"/>
      <c r="BC168" s="179"/>
      <c r="BD168" s="179"/>
      <c r="BE168" s="179"/>
      <c r="BF168" s="179"/>
      <c r="BG168" s="179"/>
      <c r="BH168" s="179"/>
      <c r="BI168" s="179"/>
      <c r="BJ168" s="179"/>
      <c r="BK168" s="179"/>
      <c r="BL168" s="179"/>
      <c r="BM168" s="179"/>
      <c r="BN168" s="179"/>
      <c r="BO168" s="179"/>
      <c r="BP168" s="179"/>
      <c r="BQ168" s="179"/>
      <c r="BR168" s="179"/>
    </row>
    <row r="169" spans="1:70" ht="18">
      <c r="B169" s="45" t="s">
        <v>55</v>
      </c>
      <c r="D169" s="29">
        <v>2498105</v>
      </c>
      <c r="E169" s="29">
        <v>2401403</v>
      </c>
      <c r="F169" s="29">
        <v>2572062</v>
      </c>
      <c r="G169" s="29">
        <v>2671044</v>
      </c>
      <c r="H169" s="29">
        <v>2930715</v>
      </c>
      <c r="I169" s="29">
        <v>2730309</v>
      </c>
      <c r="J169" s="29">
        <v>2852824</v>
      </c>
      <c r="K169" s="29">
        <v>2807585</v>
      </c>
      <c r="L169" s="29">
        <v>3037626</v>
      </c>
      <c r="M169" s="29">
        <v>2946445</v>
      </c>
      <c r="N169" s="29">
        <v>3181758</v>
      </c>
      <c r="O169" s="29">
        <v>3277863</v>
      </c>
      <c r="P169" s="29">
        <v>3206894</v>
      </c>
      <c r="Q169" s="29">
        <v>3358737</v>
      </c>
      <c r="R169" s="29">
        <v>3305303</v>
      </c>
      <c r="S169" s="29">
        <v>3128823</v>
      </c>
      <c r="T169" s="29">
        <v>2568069</v>
      </c>
      <c r="U169" s="29">
        <v>2543513</v>
      </c>
      <c r="V169" s="29">
        <v>2434851</v>
      </c>
      <c r="W169" s="29">
        <v>2377151</v>
      </c>
      <c r="X169" s="2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  <c r="AN169" s="179"/>
      <c r="AO169" s="179"/>
      <c r="AP169" s="179"/>
      <c r="AQ169" s="179"/>
      <c r="AR169" s="179"/>
      <c r="AS169" s="179"/>
      <c r="AT169" s="179"/>
      <c r="AU169" s="179"/>
      <c r="AV169" s="179"/>
      <c r="AW169" s="179"/>
      <c r="AX169" s="179"/>
      <c r="AY169" s="179"/>
      <c r="AZ169" s="179"/>
      <c r="BA169" s="179"/>
      <c r="BB169" s="179"/>
      <c r="BC169" s="179"/>
      <c r="BD169" s="179"/>
      <c r="BE169" s="179"/>
      <c r="BF169" s="179"/>
      <c r="BG169" s="179"/>
      <c r="BH169" s="179"/>
      <c r="BI169" s="179"/>
      <c r="BJ169" s="179"/>
      <c r="BK169" s="179"/>
      <c r="BL169" s="179"/>
      <c r="BM169" s="179"/>
      <c r="BN169" s="179"/>
      <c r="BO169" s="179"/>
      <c r="BP169" s="179"/>
      <c r="BQ169" s="179"/>
      <c r="BR169" s="179"/>
    </row>
    <row r="170" spans="1:70" ht="17">
      <c r="A170" s="76">
        <v>13</v>
      </c>
      <c r="B170" s="50" t="s">
        <v>164</v>
      </c>
      <c r="C170" s="50" t="s">
        <v>165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75"/>
    </row>
    <row r="171" spans="1:70" ht="18">
      <c r="B171" s="45" t="s">
        <v>58</v>
      </c>
      <c r="D171" s="29">
        <v>1463305</v>
      </c>
      <c r="E171" s="29">
        <v>1340295</v>
      </c>
      <c r="F171" s="29">
        <v>1437231</v>
      </c>
      <c r="G171" s="29">
        <v>1286513</v>
      </c>
      <c r="H171" s="29">
        <v>1349216</v>
      </c>
      <c r="I171" s="29">
        <v>1314482</v>
      </c>
      <c r="J171" s="29">
        <v>1412561</v>
      </c>
      <c r="K171" s="30">
        <v>765837</v>
      </c>
      <c r="L171" s="30">
        <v>925456</v>
      </c>
      <c r="M171" s="29">
        <v>1075261</v>
      </c>
      <c r="N171" s="29">
        <v>1259935</v>
      </c>
      <c r="O171" s="30">
        <v>1459764</v>
      </c>
      <c r="P171" s="30">
        <v>1438260</v>
      </c>
      <c r="Q171" s="29">
        <v>1053303</v>
      </c>
      <c r="R171" s="29">
        <v>1080800</v>
      </c>
      <c r="S171" s="29">
        <v>707427</v>
      </c>
      <c r="T171" s="29">
        <v>745733</v>
      </c>
      <c r="U171" s="29">
        <v>712864</v>
      </c>
      <c r="V171" s="29">
        <v>831079</v>
      </c>
      <c r="W171" s="29">
        <v>781553</v>
      </c>
      <c r="X171" s="2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79"/>
      <c r="AR171" s="179"/>
      <c r="AS171" s="179"/>
      <c r="AT171" s="179"/>
      <c r="AU171" s="179"/>
      <c r="AV171" s="179"/>
      <c r="AW171" s="179"/>
      <c r="AX171" s="179"/>
      <c r="AY171" s="179"/>
      <c r="AZ171" s="179"/>
      <c r="BA171" s="179"/>
      <c r="BB171" s="179"/>
      <c r="BC171" s="179"/>
    </row>
    <row r="172" spans="1:70" ht="18">
      <c r="B172" s="45" t="s">
        <v>59</v>
      </c>
      <c r="D172" s="30">
        <v>12987801</v>
      </c>
      <c r="E172" s="29">
        <v>12297806</v>
      </c>
      <c r="F172" s="29">
        <v>12255446</v>
      </c>
      <c r="G172" s="29">
        <v>12087495</v>
      </c>
      <c r="H172" s="30">
        <v>14317211</v>
      </c>
      <c r="I172" s="29">
        <v>12825274</v>
      </c>
      <c r="J172" s="29">
        <v>13327800</v>
      </c>
      <c r="K172" s="29">
        <v>12734760</v>
      </c>
      <c r="L172" s="29">
        <v>13267840</v>
      </c>
      <c r="M172" s="29">
        <v>13333970</v>
      </c>
      <c r="N172" s="29">
        <v>12972210</v>
      </c>
      <c r="O172" s="29">
        <v>12870326</v>
      </c>
      <c r="P172" s="29">
        <v>11085645</v>
      </c>
      <c r="Q172" s="30">
        <v>7916147</v>
      </c>
      <c r="R172" s="29">
        <v>8141884</v>
      </c>
      <c r="S172" s="30">
        <v>8305609</v>
      </c>
      <c r="T172" s="30">
        <v>8114640</v>
      </c>
      <c r="U172" s="30">
        <v>8053436</v>
      </c>
      <c r="V172" s="30">
        <v>8257462</v>
      </c>
      <c r="W172" s="30">
        <v>7694151</v>
      </c>
      <c r="X172" s="30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179"/>
      <c r="AU172" s="179"/>
      <c r="AV172" s="179"/>
      <c r="AW172" s="179"/>
      <c r="AX172" s="179"/>
      <c r="AY172" s="179"/>
      <c r="AZ172" s="179"/>
      <c r="BA172" s="179"/>
      <c r="BB172" s="179"/>
      <c r="BC172" s="179"/>
    </row>
    <row r="173" spans="1:70" s="248" customFormat="1" ht="18">
      <c r="A173" s="245"/>
      <c r="B173" s="246" t="s">
        <v>57</v>
      </c>
      <c r="C173" s="246"/>
      <c r="D173" s="238">
        <v>33598</v>
      </c>
      <c r="E173" s="238">
        <v>-79413</v>
      </c>
      <c r="F173" s="238">
        <v>-140439</v>
      </c>
      <c r="G173" s="238">
        <v>-140000</v>
      </c>
      <c r="H173" s="238">
        <v>-2024292</v>
      </c>
      <c r="I173" s="238">
        <v>300000</v>
      </c>
      <c r="J173" s="238">
        <v>669093</v>
      </c>
      <c r="K173" s="238">
        <v>101084</v>
      </c>
      <c r="L173" s="238">
        <v>-422291</v>
      </c>
      <c r="M173" s="247">
        <v>75980</v>
      </c>
      <c r="N173" s="247">
        <v>265790</v>
      </c>
      <c r="O173" s="238">
        <v>198030</v>
      </c>
      <c r="P173" s="247">
        <v>9514</v>
      </c>
      <c r="Q173" s="247">
        <v>683415</v>
      </c>
      <c r="R173" s="238">
        <v>-130198</v>
      </c>
      <c r="S173" s="247">
        <v>367476</v>
      </c>
      <c r="T173" s="238">
        <v>-261916</v>
      </c>
      <c r="U173" s="238">
        <v>511278</v>
      </c>
      <c r="V173" s="254">
        <v>-96379</v>
      </c>
      <c r="W173" s="254">
        <v>-126846</v>
      </c>
      <c r="X173" s="247"/>
      <c r="Y173" s="252"/>
      <c r="Z173" s="252"/>
      <c r="AA173" s="252"/>
      <c r="AB173" s="252"/>
      <c r="AC173" s="252"/>
      <c r="AD173" s="252"/>
      <c r="AE173" s="252"/>
      <c r="AF173" s="252"/>
      <c r="AG173" s="252"/>
      <c r="AH173" s="252"/>
      <c r="AI173" s="252"/>
      <c r="AJ173" s="252"/>
      <c r="AK173" s="252"/>
      <c r="AL173" s="252"/>
      <c r="AM173" s="252"/>
      <c r="AN173" s="252"/>
      <c r="AO173" s="252"/>
      <c r="AP173" s="252"/>
      <c r="AQ173" s="252"/>
      <c r="AR173" s="252"/>
      <c r="AS173" s="252"/>
      <c r="AT173" s="252"/>
      <c r="AU173" s="252"/>
      <c r="AV173" s="252"/>
      <c r="AW173" s="252"/>
      <c r="AX173" s="252"/>
      <c r="AY173" s="252"/>
      <c r="AZ173" s="252"/>
      <c r="BA173" s="252"/>
      <c r="BB173" s="252"/>
      <c r="BC173" s="252"/>
    </row>
    <row r="174" spans="1:70" ht="18">
      <c r="B174" s="45" t="s">
        <v>56</v>
      </c>
      <c r="D174" s="29">
        <v>13329647</v>
      </c>
      <c r="E174" s="29">
        <v>13175163</v>
      </c>
      <c r="F174" s="29">
        <v>13265645</v>
      </c>
      <c r="G174" s="29">
        <v>8399862</v>
      </c>
      <c r="H174" s="29">
        <v>8683335</v>
      </c>
      <c r="I174" s="29">
        <v>8476572</v>
      </c>
      <c r="J174" s="29">
        <v>8590322</v>
      </c>
      <c r="K174" s="29">
        <v>7576090</v>
      </c>
      <c r="L174" s="29">
        <v>7784803</v>
      </c>
      <c r="M174" s="29">
        <v>7920939</v>
      </c>
      <c r="N174" s="29">
        <v>8007614</v>
      </c>
      <c r="O174" s="29">
        <v>8258457</v>
      </c>
      <c r="P174" s="29">
        <v>8257202</v>
      </c>
      <c r="Q174" s="30">
        <v>5222047</v>
      </c>
      <c r="R174" s="30">
        <v>5373498</v>
      </c>
      <c r="S174" s="30">
        <v>4540302</v>
      </c>
      <c r="T174" s="30">
        <v>4613733</v>
      </c>
      <c r="U174" s="30">
        <v>4579138</v>
      </c>
      <c r="V174" s="30">
        <v>4727821</v>
      </c>
      <c r="W174" s="30">
        <v>4559725</v>
      </c>
      <c r="X174" s="30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79"/>
      <c r="AS174" s="179"/>
      <c r="AT174" s="179"/>
      <c r="AU174" s="179"/>
      <c r="AV174" s="179"/>
      <c r="AW174" s="179"/>
      <c r="AX174" s="179"/>
      <c r="AY174" s="179"/>
      <c r="AZ174" s="179"/>
      <c r="BA174" s="179"/>
      <c r="BB174" s="179"/>
      <c r="BC174" s="179"/>
    </row>
    <row r="175" spans="1:70" ht="18">
      <c r="B175" s="45" t="s">
        <v>55</v>
      </c>
      <c r="D175" s="29">
        <v>14731993</v>
      </c>
      <c r="E175" s="29">
        <v>14658157</v>
      </c>
      <c r="F175" s="29">
        <v>14890311</v>
      </c>
      <c r="G175" s="29">
        <v>13846273</v>
      </c>
      <c r="H175" s="30">
        <v>16154934</v>
      </c>
      <c r="I175" s="29">
        <v>14432953</v>
      </c>
      <c r="J175" s="29">
        <v>15094624</v>
      </c>
      <c r="K175" s="29">
        <v>14586549</v>
      </c>
      <c r="L175" s="29">
        <v>13927490</v>
      </c>
      <c r="M175" s="29">
        <v>13992194</v>
      </c>
      <c r="N175" s="29">
        <v>13883882</v>
      </c>
      <c r="O175" s="29">
        <v>15151341</v>
      </c>
      <c r="P175" s="29">
        <v>15140904</v>
      </c>
      <c r="Q175" s="30">
        <v>10125271</v>
      </c>
      <c r="R175" s="30">
        <v>9546589</v>
      </c>
      <c r="S175" s="30">
        <v>10019135</v>
      </c>
      <c r="T175" s="30">
        <v>9866366</v>
      </c>
      <c r="U175" s="30">
        <v>9818162</v>
      </c>
      <c r="V175" s="30">
        <v>10537571</v>
      </c>
      <c r="W175" s="30">
        <v>10492595</v>
      </c>
      <c r="X175" s="30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  <c r="AN175" s="179"/>
      <c r="AO175" s="179"/>
      <c r="AP175" s="179"/>
      <c r="AQ175" s="179"/>
      <c r="AR175" s="179"/>
      <c r="AS175" s="179"/>
      <c r="AT175" s="179"/>
      <c r="AU175" s="179"/>
      <c r="AV175" s="179"/>
      <c r="AW175" s="179"/>
      <c r="AX175" s="179"/>
      <c r="AY175" s="179"/>
      <c r="AZ175" s="179"/>
      <c r="BA175" s="179"/>
      <c r="BB175" s="179"/>
      <c r="BC175" s="179"/>
    </row>
    <row r="176" spans="1:70" ht="17">
      <c r="A176" s="76">
        <v>14</v>
      </c>
      <c r="B176" s="50" t="s">
        <v>166</v>
      </c>
      <c r="C176" s="50" t="s">
        <v>167</v>
      </c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75"/>
    </row>
    <row r="177" spans="1:59" ht="18">
      <c r="B177" s="45" t="s">
        <v>58</v>
      </c>
      <c r="D177" s="29">
        <v>6736788</v>
      </c>
      <c r="E177" s="29">
        <v>6115170</v>
      </c>
      <c r="F177" s="29">
        <v>5733857</v>
      </c>
      <c r="G177" s="29">
        <v>5551359</v>
      </c>
      <c r="H177" s="29">
        <v>5442350</v>
      </c>
      <c r="I177" s="30">
        <v>4633840</v>
      </c>
      <c r="J177" s="30">
        <v>4623998</v>
      </c>
      <c r="K177" s="29">
        <v>4808584</v>
      </c>
      <c r="L177" s="30">
        <v>4987444</v>
      </c>
      <c r="M177" s="29">
        <v>4627899</v>
      </c>
      <c r="N177" s="29">
        <v>4656357</v>
      </c>
      <c r="O177" s="29">
        <v>5852668</v>
      </c>
      <c r="P177" s="29">
        <v>6196551</v>
      </c>
      <c r="Q177" s="29">
        <v>5523108</v>
      </c>
      <c r="R177" s="29">
        <v>4751812</v>
      </c>
      <c r="S177" s="29">
        <v>4702229</v>
      </c>
      <c r="T177" s="29">
        <v>5932720</v>
      </c>
      <c r="U177" s="30">
        <v>5634855</v>
      </c>
      <c r="V177" s="29">
        <v>5032002</v>
      </c>
      <c r="W177" s="29">
        <v>4859606</v>
      </c>
      <c r="X177" s="2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  <c r="AN177" s="179"/>
      <c r="AO177" s="179"/>
      <c r="AP177" s="179"/>
      <c r="AQ177" s="179"/>
      <c r="AR177" s="179"/>
      <c r="AS177" s="179"/>
      <c r="AT177" s="179"/>
      <c r="AU177" s="179"/>
      <c r="AV177" s="179"/>
      <c r="AW177" s="179"/>
      <c r="AX177" s="179"/>
      <c r="AY177" s="179"/>
      <c r="AZ177" s="179"/>
      <c r="BA177" s="179"/>
      <c r="BB177" s="179"/>
      <c r="BC177" s="179"/>
      <c r="BD177" s="179"/>
      <c r="BE177" s="179"/>
      <c r="BF177" s="179"/>
      <c r="BG177" s="179"/>
    </row>
    <row r="178" spans="1:59" ht="18">
      <c r="B178" s="45" t="s">
        <v>59</v>
      </c>
      <c r="D178" s="29">
        <v>6447115</v>
      </c>
      <c r="E178" s="29">
        <v>5472319</v>
      </c>
      <c r="F178" s="29">
        <v>5147330</v>
      </c>
      <c r="G178" s="29">
        <v>5495086</v>
      </c>
      <c r="H178" s="29">
        <v>6106733</v>
      </c>
      <c r="I178" s="29">
        <v>5566037</v>
      </c>
      <c r="J178" s="29">
        <v>5422603</v>
      </c>
      <c r="K178" s="29">
        <v>5815645</v>
      </c>
      <c r="L178" s="29">
        <v>6125424</v>
      </c>
      <c r="M178" s="29">
        <v>5254655</v>
      </c>
      <c r="N178" s="29">
        <v>5198719</v>
      </c>
      <c r="O178" s="29">
        <v>5165883</v>
      </c>
      <c r="P178" s="29">
        <v>5331168</v>
      </c>
      <c r="Q178" s="29">
        <v>4493143</v>
      </c>
      <c r="R178" s="29">
        <v>4575481</v>
      </c>
      <c r="S178" s="29">
        <v>4693036</v>
      </c>
      <c r="T178" s="29">
        <v>5664329</v>
      </c>
      <c r="U178" s="29">
        <v>5458723</v>
      </c>
      <c r="V178" s="29">
        <v>5326468</v>
      </c>
      <c r="W178" s="29">
        <v>4859364</v>
      </c>
      <c r="X178" s="2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79"/>
      <c r="AS178" s="179"/>
      <c r="AT178" s="179"/>
      <c r="AU178" s="179"/>
      <c r="AV178" s="179"/>
      <c r="AW178" s="179"/>
      <c r="AX178" s="179"/>
      <c r="AY178" s="179"/>
      <c r="AZ178" s="179"/>
      <c r="BA178" s="179"/>
      <c r="BB178" s="179"/>
      <c r="BC178" s="179"/>
      <c r="BD178" s="179"/>
      <c r="BE178" s="179"/>
      <c r="BF178" s="179"/>
      <c r="BG178" s="179"/>
    </row>
    <row r="179" spans="1:59" s="248" customFormat="1" ht="18">
      <c r="A179" s="245"/>
      <c r="B179" s="246" t="s">
        <v>57</v>
      </c>
      <c r="C179" s="246"/>
      <c r="D179" s="238">
        <v>-92069</v>
      </c>
      <c r="E179" s="238">
        <v>1342</v>
      </c>
      <c r="F179" s="238">
        <v>-11075</v>
      </c>
      <c r="G179" s="238">
        <v>-939741</v>
      </c>
      <c r="H179" s="238">
        <v>-726777</v>
      </c>
      <c r="I179" s="238">
        <v>33102</v>
      </c>
      <c r="J179" s="238">
        <v>19088</v>
      </c>
      <c r="K179" s="238">
        <v>-314949</v>
      </c>
      <c r="L179" s="238">
        <v>-309583</v>
      </c>
      <c r="M179" s="238">
        <v>362814</v>
      </c>
      <c r="N179" s="238">
        <v>35042</v>
      </c>
      <c r="O179" s="238">
        <v>-62283</v>
      </c>
      <c r="P179" s="238">
        <v>-134102</v>
      </c>
      <c r="Q179" s="238">
        <v>137641</v>
      </c>
      <c r="R179" s="238">
        <v>6702</v>
      </c>
      <c r="S179" s="238">
        <v>-70907</v>
      </c>
      <c r="T179" s="238">
        <v>-35620</v>
      </c>
      <c r="U179" s="238">
        <v>48100</v>
      </c>
      <c r="V179" s="238">
        <v>-10877</v>
      </c>
      <c r="W179" s="238">
        <v>30390</v>
      </c>
      <c r="X179" s="238"/>
      <c r="Y179" s="252"/>
      <c r="Z179" s="252"/>
      <c r="AA179" s="252"/>
      <c r="AB179" s="252"/>
      <c r="AC179" s="252"/>
      <c r="AD179" s="252"/>
      <c r="AE179" s="252"/>
      <c r="AF179" s="252"/>
      <c r="AG179" s="252"/>
      <c r="AH179" s="252"/>
      <c r="AI179" s="252"/>
      <c r="AJ179" s="252"/>
      <c r="AK179" s="252"/>
      <c r="AL179" s="252"/>
      <c r="AM179" s="252"/>
      <c r="AN179" s="252"/>
      <c r="AO179" s="252"/>
      <c r="AP179" s="252"/>
      <c r="AQ179" s="252"/>
      <c r="AR179" s="252"/>
      <c r="AS179" s="252"/>
      <c r="AT179" s="252"/>
      <c r="AU179" s="252"/>
      <c r="AV179" s="252"/>
      <c r="AW179" s="252"/>
      <c r="AX179" s="252"/>
      <c r="AY179" s="252"/>
      <c r="AZ179" s="252"/>
      <c r="BA179" s="252"/>
      <c r="BB179" s="252"/>
      <c r="BC179" s="252"/>
      <c r="BD179" s="252"/>
      <c r="BE179" s="252"/>
      <c r="BF179" s="252"/>
      <c r="BG179" s="252"/>
    </row>
    <row r="180" spans="1:59" ht="18">
      <c r="B180" s="45" t="s">
        <v>56</v>
      </c>
      <c r="D180" s="29">
        <v>17473352</v>
      </c>
      <c r="E180" s="29">
        <v>16511132</v>
      </c>
      <c r="F180" s="29">
        <v>15982542</v>
      </c>
      <c r="G180" s="30">
        <v>14907543</v>
      </c>
      <c r="H180" s="29">
        <v>17545729</v>
      </c>
      <c r="I180" s="29">
        <v>17073295</v>
      </c>
      <c r="J180" s="29">
        <v>16798829</v>
      </c>
      <c r="K180" s="29">
        <v>15682406</v>
      </c>
      <c r="L180" s="29">
        <v>15657749</v>
      </c>
      <c r="M180" s="29">
        <v>15583068</v>
      </c>
      <c r="N180" s="29">
        <v>15734371</v>
      </c>
      <c r="O180" s="29">
        <v>14760983</v>
      </c>
      <c r="P180" s="29">
        <v>15033363</v>
      </c>
      <c r="Q180" s="29">
        <v>13607921</v>
      </c>
      <c r="R180" s="29">
        <v>12917409</v>
      </c>
      <c r="S180" s="29">
        <v>13082641</v>
      </c>
      <c r="T180" s="29">
        <v>13660384</v>
      </c>
      <c r="U180" s="29">
        <v>13293670</v>
      </c>
      <c r="V180" s="29">
        <v>13154315</v>
      </c>
      <c r="W180" s="29">
        <v>13089217</v>
      </c>
      <c r="X180" s="2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  <c r="AM180" s="179"/>
      <c r="AN180" s="179"/>
      <c r="AO180" s="179"/>
      <c r="AP180" s="179"/>
      <c r="AQ180" s="179"/>
      <c r="AR180" s="179"/>
      <c r="AS180" s="179"/>
      <c r="AT180" s="179"/>
      <c r="AU180" s="179"/>
      <c r="AV180" s="179"/>
      <c r="AW180" s="179"/>
      <c r="AX180" s="179"/>
      <c r="AY180" s="179"/>
      <c r="AZ180" s="179"/>
      <c r="BA180" s="179"/>
      <c r="BB180" s="179"/>
      <c r="BC180" s="179"/>
      <c r="BD180" s="179"/>
      <c r="BE180" s="179"/>
      <c r="BF180" s="179"/>
      <c r="BG180" s="179"/>
    </row>
    <row r="181" spans="1:59" ht="18">
      <c r="B181" s="45" t="s">
        <v>55</v>
      </c>
      <c r="D181" s="29">
        <v>11318035</v>
      </c>
      <c r="E181" s="29">
        <v>10642923</v>
      </c>
      <c r="F181" s="29">
        <v>10591013</v>
      </c>
      <c r="G181" s="29">
        <v>9644191</v>
      </c>
      <c r="H181" s="29">
        <v>12163055</v>
      </c>
      <c r="I181" s="29">
        <v>12107611</v>
      </c>
      <c r="J181" s="29">
        <v>12060787</v>
      </c>
      <c r="K181" s="29">
        <v>12314619</v>
      </c>
      <c r="L181" s="29">
        <v>12659845</v>
      </c>
      <c r="M181" s="29">
        <v>11595873</v>
      </c>
      <c r="N181" s="29">
        <v>11546593</v>
      </c>
      <c r="O181" s="29">
        <v>10885577</v>
      </c>
      <c r="P181" s="29">
        <v>10326438</v>
      </c>
      <c r="Q181" s="29">
        <v>8981562</v>
      </c>
      <c r="R181" s="29">
        <v>8744549</v>
      </c>
      <c r="S181" s="29">
        <v>8755718</v>
      </c>
      <c r="T181" s="29">
        <v>9462284</v>
      </c>
      <c r="U181" s="29">
        <v>9046518</v>
      </c>
      <c r="V181" s="29">
        <v>8773532</v>
      </c>
      <c r="W181" s="29">
        <v>8390166</v>
      </c>
      <c r="X181" s="2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  <c r="AK181" s="179"/>
      <c r="AL181" s="179"/>
      <c r="AM181" s="179"/>
      <c r="AN181" s="179"/>
      <c r="AO181" s="179"/>
      <c r="AP181" s="179"/>
      <c r="AQ181" s="179"/>
      <c r="AR181" s="179"/>
      <c r="AS181" s="179"/>
      <c r="AT181" s="179"/>
      <c r="AU181" s="179"/>
      <c r="AV181" s="179"/>
      <c r="AW181" s="179"/>
      <c r="AX181" s="179"/>
      <c r="AY181" s="179"/>
      <c r="AZ181" s="179"/>
      <c r="BA181" s="179"/>
      <c r="BB181" s="179"/>
      <c r="BC181" s="179"/>
      <c r="BD181" s="179"/>
      <c r="BE181" s="179"/>
      <c r="BF181" s="179"/>
      <c r="BG181" s="179"/>
    </row>
    <row r="182" spans="1:59" ht="17">
      <c r="A182" s="76">
        <v>15</v>
      </c>
      <c r="B182" s="50" t="s">
        <v>168</v>
      </c>
      <c r="C182" s="50" t="s">
        <v>169</v>
      </c>
      <c r="D182" s="21" t="s">
        <v>140</v>
      </c>
      <c r="E182" s="21"/>
      <c r="F182" s="21"/>
      <c r="G182" s="25"/>
      <c r="H182" s="21"/>
      <c r="I182" s="21"/>
      <c r="J182" s="21"/>
      <c r="K182" s="21"/>
      <c r="L182" s="21"/>
      <c r="M182" s="21"/>
      <c r="N182" s="21"/>
      <c r="O182" s="25"/>
      <c r="P182" s="21"/>
      <c r="Q182" s="21"/>
      <c r="R182" s="21"/>
      <c r="S182" s="25"/>
      <c r="T182" s="21"/>
      <c r="U182" s="21"/>
      <c r="V182" s="21"/>
      <c r="W182" s="25"/>
      <c r="X182" s="75"/>
    </row>
    <row r="183" spans="1:59" ht="18">
      <c r="B183" s="45" t="s">
        <v>58</v>
      </c>
      <c r="D183" s="29">
        <v>3863718030</v>
      </c>
      <c r="E183" s="29">
        <v>4210530458</v>
      </c>
      <c r="F183" s="29">
        <v>4355576390</v>
      </c>
      <c r="G183" s="29">
        <v>4453113477</v>
      </c>
      <c r="H183" s="30">
        <v>4420038464</v>
      </c>
      <c r="I183" s="30">
        <v>4349454424</v>
      </c>
      <c r="J183" s="29">
        <v>4184038739</v>
      </c>
      <c r="K183" s="29">
        <v>4314517392</v>
      </c>
      <c r="L183" s="29">
        <v>3859597008</v>
      </c>
      <c r="M183" s="29">
        <v>3870571241</v>
      </c>
      <c r="N183" s="29">
        <v>3926188925</v>
      </c>
      <c r="O183" s="29">
        <v>3870566777</v>
      </c>
      <c r="P183" s="29">
        <v>3919385522</v>
      </c>
      <c r="Q183" s="29">
        <v>3770675224</v>
      </c>
      <c r="R183" s="29">
        <v>3716667119</v>
      </c>
      <c r="S183" s="30">
        <v>3620921862</v>
      </c>
      <c r="T183" s="29">
        <v>3550810168</v>
      </c>
      <c r="U183" s="29">
        <v>3458472541</v>
      </c>
      <c r="V183" s="30">
        <v>4274505551</v>
      </c>
      <c r="W183" s="30">
        <v>4149612989</v>
      </c>
      <c r="X183" s="30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  <c r="AM183" s="179"/>
      <c r="AN183" s="179"/>
      <c r="AO183" s="179"/>
      <c r="AP183" s="179"/>
      <c r="AQ183" s="179"/>
      <c r="AR183" s="179"/>
      <c r="AS183" s="179"/>
      <c r="AT183" s="179"/>
      <c r="AU183" s="179"/>
      <c r="AV183" s="179"/>
      <c r="AW183" s="179"/>
      <c r="AX183" s="179"/>
      <c r="AY183" s="179"/>
      <c r="AZ183" s="179"/>
      <c r="BA183" s="179"/>
      <c r="BB183" s="179"/>
      <c r="BC183" s="179"/>
      <c r="BD183" s="179"/>
      <c r="BE183" s="179"/>
    </row>
    <row r="184" spans="1:59" ht="18">
      <c r="B184" s="45" t="s">
        <v>59</v>
      </c>
      <c r="D184" s="30">
        <v>3382175325</v>
      </c>
      <c r="E184" s="29">
        <v>4299092197</v>
      </c>
      <c r="F184" s="29">
        <v>4974480334</v>
      </c>
      <c r="G184" s="29">
        <v>5637728568</v>
      </c>
      <c r="H184" s="30">
        <v>7113791519</v>
      </c>
      <c r="I184" s="30">
        <v>8055149252</v>
      </c>
      <c r="J184" s="30">
        <v>7556886259</v>
      </c>
      <c r="K184" s="30">
        <v>8030773889</v>
      </c>
      <c r="L184" s="29">
        <v>7910773514</v>
      </c>
      <c r="M184" s="29">
        <v>8099183393</v>
      </c>
      <c r="N184" s="29">
        <v>8078295855</v>
      </c>
      <c r="O184" s="29">
        <v>7990129747</v>
      </c>
      <c r="P184" s="29">
        <v>8854188785</v>
      </c>
      <c r="Q184" s="29">
        <v>8826924278</v>
      </c>
      <c r="R184" s="29">
        <v>9206510425</v>
      </c>
      <c r="S184" s="29">
        <v>9670648522</v>
      </c>
      <c r="T184" s="29">
        <v>10197136632</v>
      </c>
      <c r="U184" s="29">
        <v>9846420688</v>
      </c>
      <c r="V184" s="29">
        <v>11052091045</v>
      </c>
      <c r="W184" s="29">
        <v>11289652006</v>
      </c>
      <c r="X184" s="2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  <c r="AK184" s="179"/>
      <c r="AL184" s="179"/>
      <c r="AM184" s="179"/>
      <c r="AN184" s="179"/>
      <c r="AO184" s="179"/>
      <c r="AP184" s="179"/>
      <c r="AQ184" s="179"/>
      <c r="AR184" s="179"/>
      <c r="AS184" s="179"/>
      <c r="AT184" s="179"/>
      <c r="AU184" s="179"/>
      <c r="AV184" s="179"/>
      <c r="AW184" s="179"/>
      <c r="AX184" s="179"/>
      <c r="AY184" s="179"/>
      <c r="AZ184" s="179"/>
      <c r="BA184" s="179"/>
      <c r="BB184" s="179"/>
      <c r="BC184" s="179"/>
      <c r="BD184" s="179"/>
      <c r="BE184" s="179"/>
    </row>
    <row r="185" spans="1:59" s="244" customFormat="1" ht="18">
      <c r="A185" s="242"/>
      <c r="B185" s="243" t="s">
        <v>57</v>
      </c>
      <c r="C185" s="243"/>
      <c r="D185" s="239">
        <f>-1111687862/4</f>
        <v>-277921965.5</v>
      </c>
      <c r="E185" s="239">
        <v>-88909729</v>
      </c>
      <c r="F185" s="239">
        <v>-230999832</v>
      </c>
      <c r="G185" s="239">
        <v>-354360328</v>
      </c>
      <c r="H185" s="239">
        <v>-484360328</v>
      </c>
      <c r="I185" s="239">
        <v>-995332709</v>
      </c>
      <c r="J185" s="239">
        <v>-676589754</v>
      </c>
      <c r="K185" s="239">
        <v>-1009997992</v>
      </c>
      <c r="L185" s="239">
        <v>-1809997992</v>
      </c>
      <c r="M185" s="239">
        <v>-161371954</v>
      </c>
      <c r="N185" s="239">
        <v>-114259833</v>
      </c>
      <c r="O185" s="239">
        <v>-104097473</v>
      </c>
      <c r="P185" s="239">
        <v>-64097473</v>
      </c>
      <c r="Q185" s="239">
        <v>-210626135</v>
      </c>
      <c r="R185" s="239">
        <v>-652732955</v>
      </c>
      <c r="S185" s="239">
        <v>-1087161109</v>
      </c>
      <c r="T185" s="239">
        <v>-1719488561</v>
      </c>
      <c r="U185" s="239">
        <v>-67666831</v>
      </c>
      <c r="V185" s="240">
        <v>-501403652</v>
      </c>
      <c r="W185" s="240">
        <v>-887124189</v>
      </c>
      <c r="X185" s="240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  <c r="AZ185" s="251"/>
      <c r="BA185" s="251"/>
      <c r="BB185" s="251"/>
      <c r="BC185" s="251"/>
      <c r="BD185" s="251"/>
      <c r="BE185" s="251"/>
    </row>
    <row r="186" spans="1:59" ht="18">
      <c r="B186" s="45" t="s">
        <v>56</v>
      </c>
      <c r="D186" s="29">
        <v>8024565813</v>
      </c>
      <c r="E186" s="29">
        <v>8364516247</v>
      </c>
      <c r="F186" s="29">
        <v>8432389817</v>
      </c>
      <c r="G186" s="29">
        <v>8523745483</v>
      </c>
      <c r="H186" s="29">
        <v>8567653603</v>
      </c>
      <c r="I186" s="29">
        <v>8499729530</v>
      </c>
      <c r="J186" s="29">
        <v>8328255285</v>
      </c>
      <c r="K186" s="29">
        <v>8491044474</v>
      </c>
      <c r="L186" s="29">
        <v>8584281930</v>
      </c>
      <c r="M186" s="29">
        <v>8667446737</v>
      </c>
      <c r="N186" s="29">
        <v>8710116005</v>
      </c>
      <c r="O186" s="29">
        <v>8607546950</v>
      </c>
      <c r="P186" s="29">
        <v>8573516557</v>
      </c>
      <c r="Q186" s="29">
        <v>8341725505</v>
      </c>
      <c r="R186" s="30">
        <v>8280427170</v>
      </c>
      <c r="S186" s="29">
        <v>9024753690</v>
      </c>
      <c r="T186" s="29">
        <v>8873182411</v>
      </c>
      <c r="U186" s="29">
        <v>8457343844</v>
      </c>
      <c r="V186" s="29">
        <v>9231870044</v>
      </c>
      <c r="W186" s="29">
        <v>9081613256</v>
      </c>
      <c r="X186" s="29"/>
      <c r="Y186" s="57" t="s">
        <v>178</v>
      </c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79"/>
      <c r="AO186" s="179"/>
      <c r="AP186" s="179"/>
      <c r="AQ186" s="179"/>
      <c r="AR186" s="179"/>
      <c r="AS186" s="179"/>
      <c r="AT186" s="179"/>
      <c r="AU186" s="179"/>
      <c r="AV186" s="179"/>
      <c r="AW186" s="179"/>
      <c r="AX186" s="179"/>
      <c r="AY186" s="179"/>
      <c r="AZ186" s="179"/>
      <c r="BA186" s="179"/>
      <c r="BB186" s="179"/>
      <c r="BC186" s="179"/>
      <c r="BD186" s="179"/>
      <c r="BE186" s="179"/>
    </row>
    <row r="187" spans="1:59" ht="18">
      <c r="B187" s="45" t="s">
        <v>55</v>
      </c>
      <c r="D187" s="29">
        <v>6332144641</v>
      </c>
      <c r="E187" s="29">
        <v>6750008950</v>
      </c>
      <c r="F187" s="29">
        <v>7506522343</v>
      </c>
      <c r="G187" s="29">
        <v>7194812237</v>
      </c>
      <c r="H187" s="29">
        <v>7419666167</v>
      </c>
      <c r="I187" s="30">
        <v>8384055379</v>
      </c>
      <c r="J187" s="29">
        <v>7898816829</v>
      </c>
      <c r="K187" s="30">
        <v>8990774908</v>
      </c>
      <c r="L187" s="29">
        <v>8938917710</v>
      </c>
      <c r="M187" s="29">
        <v>8614383446</v>
      </c>
      <c r="N187" s="29">
        <v>9179974770</v>
      </c>
      <c r="O187" s="30">
        <v>8509053908</v>
      </c>
      <c r="P187" s="29">
        <v>9767752957</v>
      </c>
      <c r="Q187" s="29">
        <v>9751188767</v>
      </c>
      <c r="R187" s="29">
        <v>10134236755</v>
      </c>
      <c r="S187" s="29">
        <v>10582559894</v>
      </c>
      <c r="T187" s="29">
        <v>11064727791</v>
      </c>
      <c r="U187" s="29">
        <v>10109405525</v>
      </c>
      <c r="V187" s="29">
        <v>11317668546</v>
      </c>
      <c r="W187" s="29">
        <v>11553132295</v>
      </c>
      <c r="X187" s="29"/>
      <c r="Y187" s="58" t="s">
        <v>175</v>
      </c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  <c r="AM187" s="179"/>
      <c r="AN187" s="179"/>
      <c r="AO187" s="179"/>
      <c r="AP187" s="179"/>
      <c r="AQ187" s="179"/>
      <c r="AR187" s="179"/>
      <c r="AS187" s="179"/>
      <c r="AT187" s="179"/>
      <c r="AU187" s="179"/>
      <c r="AV187" s="179"/>
      <c r="AW187" s="179"/>
      <c r="AX187" s="179"/>
      <c r="AY187" s="179"/>
      <c r="AZ187" s="179"/>
      <c r="BA187" s="179"/>
      <c r="BB187" s="179"/>
      <c r="BC187" s="179"/>
      <c r="BD187" s="179"/>
      <c r="BE187" s="179"/>
    </row>
    <row r="188" spans="1:59" ht="18">
      <c r="A188" s="76">
        <v>16</v>
      </c>
      <c r="B188" s="45" t="s">
        <v>193</v>
      </c>
      <c r="D188" s="29"/>
      <c r="E188" s="29">
        <v>2019</v>
      </c>
      <c r="F188" s="29"/>
      <c r="G188" s="29"/>
      <c r="H188" s="29"/>
      <c r="I188" s="30">
        <v>2020</v>
      </c>
      <c r="J188" s="29"/>
      <c r="K188" s="30"/>
      <c r="L188" s="29"/>
      <c r="M188" s="29">
        <v>2021</v>
      </c>
      <c r="N188" s="29"/>
      <c r="O188" s="30"/>
      <c r="P188" s="29"/>
      <c r="Q188" s="29">
        <v>2022</v>
      </c>
      <c r="R188" s="29"/>
      <c r="S188" s="29"/>
      <c r="T188" s="29"/>
      <c r="U188" s="29">
        <v>2023</v>
      </c>
      <c r="V188" s="29"/>
      <c r="W188" s="29"/>
      <c r="X188" s="29"/>
      <c r="Y188" s="58"/>
    </row>
    <row r="189" spans="1:59">
      <c r="B189" s="45" t="s">
        <v>58</v>
      </c>
      <c r="D189" s="34">
        <v>512028</v>
      </c>
      <c r="E189" s="34">
        <v>479221</v>
      </c>
      <c r="F189" s="34">
        <v>472745</v>
      </c>
      <c r="G189" s="34">
        <v>566337</v>
      </c>
      <c r="H189" s="34">
        <v>470689</v>
      </c>
      <c r="I189" s="34">
        <v>55408</v>
      </c>
      <c r="J189" s="34">
        <v>565892</v>
      </c>
      <c r="K189" s="34">
        <v>613741</v>
      </c>
      <c r="L189" s="34">
        <v>47451</v>
      </c>
      <c r="M189" s="34">
        <v>48235</v>
      </c>
      <c r="N189" s="34">
        <v>384113</v>
      </c>
      <c r="O189" s="8">
        <v>511539</v>
      </c>
      <c r="P189" s="8">
        <v>490737</v>
      </c>
      <c r="Q189" s="34">
        <v>448654</v>
      </c>
      <c r="R189" s="8">
        <v>426998</v>
      </c>
      <c r="S189" s="8">
        <v>497523</v>
      </c>
      <c r="T189" s="8">
        <v>534404</v>
      </c>
      <c r="U189" s="34">
        <v>477837</v>
      </c>
      <c r="V189" s="8">
        <v>556853</v>
      </c>
      <c r="W189" s="8">
        <v>598879</v>
      </c>
      <c r="X189" s="8"/>
      <c r="Y189" s="58"/>
    </row>
    <row r="190" spans="1:59">
      <c r="B190" s="45" t="s">
        <v>59</v>
      </c>
      <c r="D190" s="34">
        <v>274692</v>
      </c>
      <c r="E190" s="34">
        <v>493866</v>
      </c>
      <c r="F190" s="34">
        <v>477311</v>
      </c>
      <c r="G190" s="34">
        <v>570058</v>
      </c>
      <c r="H190" s="34">
        <v>467475</v>
      </c>
      <c r="I190" s="34">
        <v>47194</v>
      </c>
      <c r="J190" s="34">
        <v>528094</v>
      </c>
      <c r="K190" s="34">
        <v>636601</v>
      </c>
      <c r="L190" s="34">
        <v>515053</v>
      </c>
      <c r="M190" s="34">
        <v>552442</v>
      </c>
      <c r="N190" s="34">
        <v>520049</v>
      </c>
      <c r="O190" s="8">
        <v>624233</v>
      </c>
      <c r="P190" s="8">
        <v>586653</v>
      </c>
      <c r="Q190" s="34">
        <v>525242</v>
      </c>
      <c r="R190" s="8">
        <v>498921</v>
      </c>
      <c r="S190" s="8">
        <v>575966</v>
      </c>
      <c r="T190" s="8">
        <v>541594</v>
      </c>
      <c r="U190" s="34">
        <v>510211</v>
      </c>
      <c r="V190" s="8">
        <v>596318</v>
      </c>
      <c r="W190" s="8">
        <v>613068</v>
      </c>
      <c r="X190" s="8"/>
      <c r="Y190" s="58"/>
    </row>
    <row r="191" spans="1:59" ht="17">
      <c r="B191" s="50" t="s">
        <v>57</v>
      </c>
      <c r="D191" s="34">
        <v>628426</v>
      </c>
      <c r="E191" s="34">
        <v>451271</v>
      </c>
      <c r="F191" s="34">
        <v>472715</v>
      </c>
      <c r="G191" s="34">
        <v>488483</v>
      </c>
      <c r="H191" s="34">
        <v>606725</v>
      </c>
      <c r="I191" s="8">
        <v>210275</v>
      </c>
      <c r="J191" s="34">
        <v>245703</v>
      </c>
      <c r="K191" s="34">
        <v>322061</v>
      </c>
      <c r="L191" s="34">
        <v>430335</v>
      </c>
      <c r="M191" s="34">
        <v>345759</v>
      </c>
      <c r="N191" s="34">
        <v>457627</v>
      </c>
      <c r="O191" s="8">
        <v>471981</v>
      </c>
      <c r="P191" s="8">
        <v>594929</v>
      </c>
      <c r="Q191" s="34">
        <v>450785</v>
      </c>
      <c r="R191" s="8">
        <v>464919</v>
      </c>
      <c r="S191" s="8">
        <v>434145</v>
      </c>
      <c r="T191" s="34">
        <v>514333</v>
      </c>
      <c r="U191" s="34">
        <v>383257</v>
      </c>
      <c r="V191" s="8">
        <v>435344</v>
      </c>
      <c r="W191" s="8">
        <v>454063</v>
      </c>
      <c r="X191" s="8"/>
      <c r="Y191" s="58"/>
    </row>
    <row r="192" spans="1:59">
      <c r="B192" s="45" t="s">
        <v>56</v>
      </c>
      <c r="D192" s="34">
        <v>1086627</v>
      </c>
      <c r="E192" s="34">
        <v>2126687</v>
      </c>
      <c r="F192" s="34">
        <v>2052607</v>
      </c>
      <c r="G192" s="34">
        <v>2077914</v>
      </c>
      <c r="H192" s="34">
        <v>1790739</v>
      </c>
      <c r="I192" s="34">
        <v>1799184</v>
      </c>
      <c r="J192" s="34">
        <v>1687444</v>
      </c>
      <c r="K192" s="34">
        <v>1672071</v>
      </c>
      <c r="L192" s="34">
        <v>1458457</v>
      </c>
      <c r="M192" s="34">
        <v>1406739</v>
      </c>
      <c r="N192" s="34">
        <v>1250380</v>
      </c>
      <c r="O192" s="8">
        <v>1324128</v>
      </c>
      <c r="P192" s="8">
        <v>1259454</v>
      </c>
      <c r="Q192" s="34">
        <v>1230584</v>
      </c>
      <c r="R192" s="8">
        <v>1162955</v>
      </c>
      <c r="S192" s="8">
        <v>1220971</v>
      </c>
      <c r="T192" s="8">
        <v>1398325</v>
      </c>
      <c r="U192" s="34">
        <v>1353701</v>
      </c>
      <c r="V192" s="8">
        <v>1452033</v>
      </c>
      <c r="W192" s="8">
        <v>1467758</v>
      </c>
      <c r="X192" s="8"/>
      <c r="Y192" s="58"/>
    </row>
    <row r="193" spans="1:30">
      <c r="B193" s="45" t="s">
        <v>55</v>
      </c>
      <c r="D193" s="34">
        <v>501449</v>
      </c>
      <c r="E193" s="34">
        <v>1560940</v>
      </c>
      <c r="F193" s="34">
        <v>1494143</v>
      </c>
      <c r="G193" s="34">
        <v>1528912</v>
      </c>
      <c r="H193" s="34">
        <v>1384437</v>
      </c>
      <c r="I193" s="34">
        <v>1544970</v>
      </c>
      <c r="J193" s="34">
        <v>1538568</v>
      </c>
      <c r="K193" s="34">
        <v>1611251</v>
      </c>
      <c r="L193" s="34">
        <v>1448768</v>
      </c>
      <c r="M193" s="34">
        <v>1442418</v>
      </c>
      <c r="N193" s="34">
        <v>1273874</v>
      </c>
      <c r="O193" s="8">
        <v>1332297</v>
      </c>
      <c r="P193" s="8">
        <v>1258146</v>
      </c>
      <c r="Q193" s="34">
        <v>1240687</v>
      </c>
      <c r="R193" s="8">
        <v>1163468</v>
      </c>
      <c r="S193" s="8">
        <v>1253372</v>
      </c>
      <c r="T193" s="8">
        <v>1090756</v>
      </c>
      <c r="U193" s="34">
        <v>1118042</v>
      </c>
      <c r="V193" s="8">
        <v>1266117</v>
      </c>
      <c r="W193" s="8">
        <v>1319803</v>
      </c>
      <c r="X193" s="8"/>
      <c r="Y193" s="58"/>
    </row>
    <row r="194" spans="1:30" ht="18">
      <c r="A194" s="76">
        <v>17</v>
      </c>
      <c r="B194" s="45" t="s">
        <v>194</v>
      </c>
      <c r="D194" s="29"/>
      <c r="E194" s="29"/>
      <c r="F194" s="29"/>
      <c r="G194" s="29"/>
      <c r="H194" s="29"/>
      <c r="I194" s="30"/>
      <c r="J194" s="29"/>
      <c r="K194" s="30"/>
      <c r="L194" s="29"/>
      <c r="M194" s="29"/>
      <c r="N194" s="29"/>
      <c r="O194" s="30"/>
      <c r="P194" s="29"/>
      <c r="Q194" s="29"/>
      <c r="R194" s="29"/>
      <c r="S194" s="29"/>
      <c r="T194" s="29"/>
      <c r="U194" s="29"/>
      <c r="V194" s="29"/>
      <c r="W194" s="29"/>
      <c r="X194" s="29"/>
      <c r="Y194" s="58"/>
    </row>
    <row r="195" spans="1:30" ht="18">
      <c r="B195" s="45" t="s">
        <v>58</v>
      </c>
      <c r="D195" s="41">
        <v>427380</v>
      </c>
      <c r="E195" s="42">
        <v>352547</v>
      </c>
      <c r="F195" s="41">
        <v>370174</v>
      </c>
      <c r="G195" s="41">
        <v>380489</v>
      </c>
      <c r="H195" s="41">
        <v>363934</v>
      </c>
      <c r="I195" s="41">
        <v>319118</v>
      </c>
      <c r="J195" s="43">
        <v>327929</v>
      </c>
      <c r="K195" s="41">
        <v>346968</v>
      </c>
      <c r="L195" s="41">
        <v>361898</v>
      </c>
      <c r="M195" s="41">
        <v>361224</v>
      </c>
      <c r="N195" s="41">
        <v>347004</v>
      </c>
      <c r="O195" s="41">
        <v>355471</v>
      </c>
      <c r="P195" s="41">
        <v>366564</v>
      </c>
      <c r="Q195" s="41">
        <v>339569</v>
      </c>
      <c r="R195" s="41">
        <v>354647</v>
      </c>
      <c r="S195" s="41">
        <v>336276</v>
      </c>
      <c r="T195" s="41">
        <v>384520</v>
      </c>
      <c r="U195" s="42">
        <v>373872</v>
      </c>
      <c r="V195" s="41">
        <v>348880</v>
      </c>
      <c r="W195" s="41">
        <v>358881</v>
      </c>
      <c r="X195" s="41"/>
      <c r="Y195" s="58"/>
    </row>
    <row r="196" spans="1:30" ht="18">
      <c r="B196" s="45" t="s">
        <v>59</v>
      </c>
      <c r="D196" s="41">
        <v>317428</v>
      </c>
      <c r="E196" s="42">
        <v>242154</v>
      </c>
      <c r="F196" s="41">
        <v>272432</v>
      </c>
      <c r="G196" s="41">
        <v>253832</v>
      </c>
      <c r="H196" s="41">
        <v>234885</v>
      </c>
      <c r="I196" s="41">
        <v>187161</v>
      </c>
      <c r="J196" s="43">
        <v>197987</v>
      </c>
      <c r="K196" s="41">
        <v>198408</v>
      </c>
      <c r="L196" s="41">
        <v>19139</v>
      </c>
      <c r="M196" s="41">
        <v>177895</v>
      </c>
      <c r="N196" s="41">
        <v>176703</v>
      </c>
      <c r="O196" s="41">
        <v>180008</v>
      </c>
      <c r="P196" s="41">
        <v>205195</v>
      </c>
      <c r="Q196" s="41">
        <v>813470</v>
      </c>
      <c r="R196" s="41">
        <v>827703</v>
      </c>
      <c r="S196" s="41">
        <v>805327</v>
      </c>
      <c r="T196" s="41">
        <v>831537</v>
      </c>
      <c r="U196" s="42">
        <v>823656</v>
      </c>
      <c r="V196" s="41">
        <v>819288</v>
      </c>
      <c r="W196" s="41">
        <v>865351</v>
      </c>
      <c r="X196" s="41"/>
      <c r="Y196" s="58"/>
    </row>
    <row r="197" spans="1:30" ht="18">
      <c r="B197" s="50" t="s">
        <v>57</v>
      </c>
      <c r="D197" s="41">
        <v>136327</v>
      </c>
      <c r="E197" s="42">
        <v>142924</v>
      </c>
      <c r="F197" s="41">
        <v>144275</v>
      </c>
      <c r="G197" s="41">
        <v>147233</v>
      </c>
      <c r="H197" s="41">
        <v>146183</v>
      </c>
      <c r="I197" s="41">
        <v>137876</v>
      </c>
      <c r="J197" s="43">
        <v>111312</v>
      </c>
      <c r="K197" s="41">
        <v>154305</v>
      </c>
      <c r="L197" s="41">
        <v>222116</v>
      </c>
      <c r="M197" s="41">
        <v>290053</v>
      </c>
      <c r="N197" s="41">
        <v>246322</v>
      </c>
      <c r="O197" s="41">
        <v>191736</v>
      </c>
      <c r="P197" s="41">
        <v>266827</v>
      </c>
      <c r="Q197" s="42">
        <v>286253</v>
      </c>
      <c r="R197" s="44">
        <v>114924</v>
      </c>
      <c r="S197" s="41">
        <v>257904</v>
      </c>
      <c r="T197" s="29">
        <f>1050146-SUM(Q197:S197)</f>
        <v>391065</v>
      </c>
      <c r="U197" s="42">
        <v>242761</v>
      </c>
      <c r="V197" s="41">
        <v>11843</v>
      </c>
      <c r="W197" s="41">
        <v>119228</v>
      </c>
      <c r="X197" s="41"/>
      <c r="Y197" s="58"/>
    </row>
    <row r="198" spans="1:30" ht="18">
      <c r="B198" s="45" t="s">
        <v>56</v>
      </c>
      <c r="D198" s="41">
        <v>1610947</v>
      </c>
      <c r="E198" s="42">
        <v>1580992</v>
      </c>
      <c r="F198" s="41">
        <v>1622503</v>
      </c>
      <c r="G198" s="41">
        <v>1605339</v>
      </c>
      <c r="H198" s="41">
        <v>1591619</v>
      </c>
      <c r="I198" s="41">
        <v>1503610</v>
      </c>
      <c r="J198" s="43">
        <v>1515976</v>
      </c>
      <c r="K198" s="41">
        <v>1550550</v>
      </c>
      <c r="L198" s="41">
        <v>1569853</v>
      </c>
      <c r="M198" s="41">
        <v>1566283</v>
      </c>
      <c r="N198" s="41">
        <v>1546224</v>
      </c>
      <c r="O198" s="41">
        <v>1549832</v>
      </c>
      <c r="P198" s="41">
        <v>1573249</v>
      </c>
      <c r="Q198" s="41">
        <v>1560019</v>
      </c>
      <c r="R198" s="41">
        <v>1547444</v>
      </c>
      <c r="S198" s="41">
        <v>1504938</v>
      </c>
      <c r="T198" s="41">
        <v>1537555</v>
      </c>
      <c r="U198" s="42">
        <v>1541550</v>
      </c>
      <c r="V198" s="41">
        <v>1540508</v>
      </c>
      <c r="W198" s="41">
        <v>1561991</v>
      </c>
      <c r="X198" s="41"/>
      <c r="Y198" s="58"/>
    </row>
    <row r="199" spans="1:30" ht="18">
      <c r="B199" s="45" t="s">
        <v>55</v>
      </c>
      <c r="D199" s="41">
        <v>1066510</v>
      </c>
      <c r="E199" s="42">
        <v>1011944</v>
      </c>
      <c r="F199" s="41">
        <v>1034950</v>
      </c>
      <c r="G199" s="41">
        <v>1022023</v>
      </c>
      <c r="H199" s="41">
        <v>992174</v>
      </c>
      <c r="I199" s="41">
        <v>931894</v>
      </c>
      <c r="J199" s="43">
        <v>926450</v>
      </c>
      <c r="K199" s="41">
        <v>919980</v>
      </c>
      <c r="L199" s="41">
        <v>909749</v>
      </c>
      <c r="M199" s="41">
        <v>889774</v>
      </c>
      <c r="N199" s="41">
        <v>864421</v>
      </c>
      <c r="O199" s="41">
        <v>858128</v>
      </c>
      <c r="P199" s="41">
        <v>873695</v>
      </c>
      <c r="Q199" s="41">
        <v>854760</v>
      </c>
      <c r="R199" s="41">
        <v>868054</v>
      </c>
      <c r="S199" s="41">
        <v>844912</v>
      </c>
      <c r="T199" s="41">
        <v>878115</v>
      </c>
      <c r="U199" s="42">
        <v>867644</v>
      </c>
      <c r="V199" s="41">
        <v>863651</v>
      </c>
      <c r="W199" s="41">
        <v>910447</v>
      </c>
      <c r="X199" s="41"/>
      <c r="Y199" s="58"/>
    </row>
    <row r="200" spans="1:30" ht="18">
      <c r="D200" s="56"/>
      <c r="E200" s="56"/>
      <c r="F200" s="56"/>
      <c r="G200" s="56"/>
      <c r="H200" s="56"/>
      <c r="I200" s="55"/>
      <c r="J200" s="56"/>
      <c r="K200" s="55"/>
      <c r="L200" s="56"/>
      <c r="M200" s="56"/>
      <c r="N200" s="56"/>
      <c r="O200" s="55"/>
      <c r="P200" s="56"/>
      <c r="Q200" s="56"/>
      <c r="R200" s="56"/>
      <c r="S200" s="56"/>
      <c r="T200" s="56"/>
      <c r="U200" s="56"/>
      <c r="V200" s="56"/>
      <c r="W200" s="56"/>
      <c r="X200" s="56"/>
      <c r="Y200" s="58"/>
    </row>
    <row r="201" spans="1:30">
      <c r="D201" s="52"/>
      <c r="E201" s="52"/>
      <c r="F201" s="52"/>
      <c r="L201" s="52"/>
      <c r="M201" s="52"/>
      <c r="Y201" s="58" t="s">
        <v>176</v>
      </c>
    </row>
    <row r="202" spans="1:30">
      <c r="A202" s="92" t="s">
        <v>0</v>
      </c>
      <c r="B202" s="93" t="s">
        <v>1</v>
      </c>
      <c r="C202" s="93" t="s">
        <v>2</v>
      </c>
      <c r="D202" s="93" t="s">
        <v>3</v>
      </c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Y202" s="58" t="s">
        <v>177</v>
      </c>
    </row>
    <row r="203" spans="1:30" hidden="1">
      <c r="A203" s="78"/>
      <c r="B203" s="65"/>
      <c r="C203" s="65"/>
      <c r="D203" s="159">
        <v>2019</v>
      </c>
      <c r="E203" s="159"/>
      <c r="F203" s="159"/>
      <c r="G203" s="159"/>
      <c r="H203" s="159">
        <v>2020</v>
      </c>
      <c r="I203" s="159"/>
      <c r="J203" s="159"/>
      <c r="K203" s="159"/>
      <c r="L203" s="159">
        <v>2021</v>
      </c>
      <c r="M203" s="159"/>
      <c r="N203" s="159"/>
      <c r="O203" s="159"/>
      <c r="P203" s="159">
        <v>2022</v>
      </c>
      <c r="Q203" s="159"/>
      <c r="R203" s="159"/>
      <c r="S203" s="159"/>
      <c r="T203" s="159">
        <v>2023</v>
      </c>
      <c r="U203" s="159"/>
      <c r="V203" s="159"/>
      <c r="W203" s="159"/>
      <c r="X203" s="46"/>
    </row>
    <row r="204" spans="1:30">
      <c r="A204" s="78"/>
      <c r="B204" s="65"/>
      <c r="C204" s="65"/>
      <c r="D204" s="65" t="s">
        <v>5</v>
      </c>
      <c r="E204" s="65" t="s">
        <v>6</v>
      </c>
      <c r="F204" s="65" t="s">
        <v>7</v>
      </c>
      <c r="G204" s="65" t="s">
        <v>8</v>
      </c>
      <c r="H204" s="65" t="s">
        <v>5</v>
      </c>
      <c r="I204" s="65" t="s">
        <v>6</v>
      </c>
      <c r="J204" s="65" t="s">
        <v>7</v>
      </c>
      <c r="K204" s="65" t="s">
        <v>8</v>
      </c>
      <c r="L204" s="65" t="s">
        <v>5</v>
      </c>
      <c r="M204" s="65" t="s">
        <v>6</v>
      </c>
      <c r="N204" s="65" t="s">
        <v>7</v>
      </c>
      <c r="O204" s="65" t="s">
        <v>8</v>
      </c>
      <c r="P204" s="65" t="s">
        <v>5</v>
      </c>
      <c r="Q204" s="65" t="s">
        <v>6</v>
      </c>
      <c r="R204" s="65" t="s">
        <v>7</v>
      </c>
      <c r="S204" s="65" t="s">
        <v>8</v>
      </c>
      <c r="T204" s="65" t="s">
        <v>5</v>
      </c>
      <c r="U204" s="65" t="s">
        <v>6</v>
      </c>
      <c r="V204" s="65" t="s">
        <v>7</v>
      </c>
      <c r="W204" s="65" t="s">
        <v>8</v>
      </c>
    </row>
    <row r="205" spans="1:30" ht="17">
      <c r="A205" s="78">
        <v>1</v>
      </c>
      <c r="B205" s="63" t="str">
        <f>B4</f>
        <v>BARAMULTI SUKSESSARANA TBK</v>
      </c>
      <c r="C205" s="63" t="str">
        <f>C4</f>
        <v>BRRS</v>
      </c>
      <c r="D205" s="59">
        <f>D5/D6</f>
        <v>1.0266575439571217</v>
      </c>
      <c r="E205" s="59">
        <f>E5/E6</f>
        <v>1.2443467465685274</v>
      </c>
      <c r="F205" s="59">
        <f>F5/F6</f>
        <v>1.2443467465685274</v>
      </c>
      <c r="G205" s="59">
        <f>G5/G6</f>
        <v>1.2065316093207819</v>
      </c>
      <c r="H205" s="59">
        <f>H5/H6</f>
        <v>1.3402355102947019</v>
      </c>
      <c r="I205" s="59">
        <f>I5/I6</f>
        <v>1.3402355102947019</v>
      </c>
      <c r="J205" s="59">
        <f>J5/J6</f>
        <v>1.5404198870224792</v>
      </c>
      <c r="K205" s="59">
        <f>K5/K6</f>
        <v>1.5770248017352133</v>
      </c>
      <c r="L205" s="59">
        <f>L5/L6</f>
        <v>1.8033659554133226</v>
      </c>
      <c r="M205" s="59">
        <f>M5/M6</f>
        <v>1.6020219442147861</v>
      </c>
      <c r="N205" s="59">
        <f>N5/N6</f>
        <v>1.6043630395354844</v>
      </c>
      <c r="O205" s="59">
        <f>O5/O6</f>
        <v>1.6016808311280986</v>
      </c>
      <c r="P205" s="59">
        <f>P5/P6</f>
        <v>2.3415318762229385</v>
      </c>
      <c r="Q205" s="59">
        <f>Q5/Q6</f>
        <v>2.3415318762229385</v>
      </c>
      <c r="R205" s="59">
        <f>R5/R6</f>
        <v>1.8354238622565315</v>
      </c>
      <c r="S205" s="59">
        <f>S5/S6</f>
        <v>1.2452316166193158</v>
      </c>
      <c r="T205" s="59">
        <f>T5/T6</f>
        <v>1.4469960261653065</v>
      </c>
      <c r="U205" s="59">
        <f>U5/U6</f>
        <v>1.4256064816348186</v>
      </c>
      <c r="V205" s="59">
        <f>V5/V6</f>
        <v>1.1815403972806753</v>
      </c>
      <c r="W205" s="59">
        <f>W5/W6</f>
        <v>1.3793163757236377</v>
      </c>
      <c r="X205" s="60"/>
      <c r="Y205" s="45" t="s">
        <v>171</v>
      </c>
      <c r="Z205" s="45" t="s">
        <v>173</v>
      </c>
      <c r="AA205" s="45" t="s">
        <v>172</v>
      </c>
      <c r="AB205" s="45" t="s">
        <v>174</v>
      </c>
      <c r="AC205" s="45" t="s">
        <v>180</v>
      </c>
      <c r="AD205" s="45" t="s">
        <v>195</v>
      </c>
    </row>
    <row r="206" spans="1:30" ht="17">
      <c r="A206" s="78">
        <v>2</v>
      </c>
      <c r="B206" s="94" t="str">
        <f>B10</f>
        <v>INDUSTRI JAMU &amp; FARMASI SIDO MUNCUL</v>
      </c>
      <c r="C206" s="94" t="str">
        <f>C10</f>
        <v>SIDO</v>
      </c>
      <c r="D206" s="59">
        <f>D11/D12</f>
        <v>5.0203186505349082</v>
      </c>
      <c r="E206" s="59">
        <f>E11/E12</f>
        <v>5.6427181367397621</v>
      </c>
      <c r="F206" s="59">
        <f>F11/F12</f>
        <v>41.975077653043755</v>
      </c>
      <c r="G206" s="59">
        <f>G11/G12</f>
        <v>41.975077653043755</v>
      </c>
      <c r="H206" s="59">
        <f>H11/H12</f>
        <v>5.0312441147544416</v>
      </c>
      <c r="I206" s="59">
        <f>I11/I12</f>
        <v>5.5004475486096593</v>
      </c>
      <c r="J206" s="59">
        <f>J11/J12</f>
        <v>5.8874120693771852</v>
      </c>
      <c r="K206" s="59">
        <f>K11/K12</f>
        <v>3.6641490028444244</v>
      </c>
      <c r="L206" s="59">
        <f>L11/L12</f>
        <v>2.197236841974378</v>
      </c>
      <c r="M206" s="59">
        <f>M11/M12</f>
        <v>51.192821297950161</v>
      </c>
      <c r="N206" s="59">
        <f>N11/N12</f>
        <v>3.6404954542154231</v>
      </c>
      <c r="O206" s="59">
        <f>O11/O12</f>
        <v>41.31083791891345</v>
      </c>
      <c r="P206" s="59">
        <f>P11/P12</f>
        <v>2.1419516357968251</v>
      </c>
      <c r="Q206" s="59">
        <f>Q11/Q12</f>
        <v>6.2134805774878226</v>
      </c>
      <c r="R206" s="59">
        <f>R11/R12</f>
        <v>6.8660795464076632</v>
      </c>
      <c r="S206" s="59">
        <f>S11/S12</f>
        <v>4.0555403587112417</v>
      </c>
      <c r="T206" s="59">
        <f>T11/T12</f>
        <v>2.211476510948549</v>
      </c>
      <c r="U206" s="59">
        <f>U11/U12</f>
        <v>6.6293676753270914</v>
      </c>
      <c r="V206" s="59">
        <f>V11/V12</f>
        <v>6.2460492750283896</v>
      </c>
      <c r="W206" s="59">
        <f>W11/W12</f>
        <v>4.4737314899595004</v>
      </c>
      <c r="X206" s="60"/>
      <c r="Y206" s="45" t="s">
        <v>179</v>
      </c>
      <c r="Z206" s="54">
        <f>MIN(D205:W234)</f>
        <v>2.1358264622076482E-2</v>
      </c>
      <c r="AA206" s="45">
        <f>MAX(D205:W234)</f>
        <v>51.192821297950161</v>
      </c>
      <c r="AB206" s="45">
        <f>AVERAGE(D205:W234)</f>
        <v>2.5872180215882992</v>
      </c>
      <c r="AC206" s="45">
        <f>MEDIAN(D205:W234)</f>
        <v>1.4191862193854512</v>
      </c>
      <c r="AD206" s="45">
        <f>STDEV(D205:W234)</f>
        <v>4.8531958395501276</v>
      </c>
    </row>
    <row r="207" spans="1:30" ht="17">
      <c r="A207" s="78">
        <v>3</v>
      </c>
      <c r="B207" s="94" t="str">
        <f>B16</f>
        <v xml:space="preserve">Siantar Top Tbk </v>
      </c>
      <c r="C207" s="94" t="str">
        <f>C16</f>
        <v>STTP</v>
      </c>
      <c r="D207" s="59">
        <f>D17/D18</f>
        <v>1.6844639243108814</v>
      </c>
      <c r="E207" s="59">
        <f>E17/E18</f>
        <v>2.5621816569893801</v>
      </c>
      <c r="F207" s="59">
        <f>F17/F18</f>
        <v>2.8435212464698401</v>
      </c>
      <c r="G207" s="59">
        <f>G17/G18</f>
        <v>2.852957797502842</v>
      </c>
      <c r="H207" s="59">
        <f>H17/H18</f>
        <v>3.0181271707874293</v>
      </c>
      <c r="I207" s="59">
        <f>I17/I18</f>
        <v>3.4067370194926689</v>
      </c>
      <c r="J207" s="59">
        <f>J17/J18</f>
        <v>3.086633512088119</v>
      </c>
      <c r="K207" s="59">
        <f>K17/K18</f>
        <v>2.4050435658572842</v>
      </c>
      <c r="L207" s="59">
        <f>L17/L18</f>
        <v>2.3817609130482964</v>
      </c>
      <c r="M207" s="59">
        <f>M17/M18</f>
        <v>4.2241256006395362</v>
      </c>
      <c r="N207" s="59">
        <f>N17/N18</f>
        <v>4.0205800048983429</v>
      </c>
      <c r="O207" s="59">
        <f>O17/O18</f>
        <v>4.1648527073455508</v>
      </c>
      <c r="P207" s="59">
        <f>P17/P18</f>
        <v>4.1231352455394141</v>
      </c>
      <c r="Q207" s="59">
        <f>Q17/Q18</f>
        <v>5.1877577737707918</v>
      </c>
      <c r="R207" s="59">
        <f>R17/R18</f>
        <v>4.6837225997371306</v>
      </c>
      <c r="S207" s="59">
        <f>S17/S18</f>
        <v>4.8528735034640125</v>
      </c>
      <c r="T207" s="59">
        <f>T17/T18</f>
        <v>5.4110424968717554</v>
      </c>
      <c r="U207" s="59">
        <f>U17/U18</f>
        <v>6.5234163880549154</v>
      </c>
      <c r="V207" s="59">
        <f>V17/V18</f>
        <v>6.5709955311279131</v>
      </c>
      <c r="W207" s="59">
        <f>W17/W18</f>
        <v>6.954331055585155</v>
      </c>
      <c r="X207" s="60"/>
      <c r="Y207" s="45" t="s">
        <v>183</v>
      </c>
      <c r="Z207" s="54">
        <f>MIN(D241:W270)</f>
        <v>-19.486371089515693</v>
      </c>
      <c r="AA207" s="45">
        <f>MAX(D241:W270)</f>
        <v>30.517581342132466</v>
      </c>
      <c r="AB207" s="45">
        <f>AVERAGE(D241:W270)</f>
        <v>0.14555411645069177</v>
      </c>
      <c r="AC207" s="45">
        <f>MEDIAN(D241:W270)</f>
        <v>1.5583769565352526E-2</v>
      </c>
      <c r="AD207" s="45">
        <f>STDEV(D241:W270)</f>
        <v>2.1947288643002776</v>
      </c>
    </row>
    <row r="208" spans="1:30" ht="17">
      <c r="A208" s="78">
        <v>4</v>
      </c>
      <c r="B208" s="94" t="str">
        <f>B22</f>
        <v>Akasha Wira International Tbk</v>
      </c>
      <c r="C208" s="94" t="str">
        <f>C22</f>
        <v>ADES</v>
      </c>
      <c r="D208" s="59">
        <f>D23/D24</f>
        <v>1.4338779383153126</v>
      </c>
      <c r="E208" s="59">
        <f>E23/E24</f>
        <v>1.4522267206477733</v>
      </c>
      <c r="F208" s="59">
        <f>F23/F24</f>
        <v>2.0042125451649913</v>
      </c>
      <c r="G208" s="59">
        <f>G23/G24</f>
        <v>2.0042125451649913</v>
      </c>
      <c r="H208" s="59">
        <f>H23/H24</f>
        <v>20.443751679656007</v>
      </c>
      <c r="I208" s="59">
        <f>I23/I24</f>
        <v>0.27097061377584158</v>
      </c>
      <c r="J208" s="59">
        <f>J23/J24</f>
        <v>2.7107309846766352</v>
      </c>
      <c r="K208" s="59">
        <f>K23/K24</f>
        <v>2.9703746479333621</v>
      </c>
      <c r="L208" s="59">
        <f>L23/L24</f>
        <v>3.1228920303131247</v>
      </c>
      <c r="M208" s="59">
        <f>M23/M24</f>
        <v>3.0076796628887541</v>
      </c>
      <c r="N208" s="59">
        <f>N23/N24</f>
        <v>2.9114714967705702</v>
      </c>
      <c r="O208" s="59">
        <f>O23/O24</f>
        <v>2.509228034743467</v>
      </c>
      <c r="P208" s="59">
        <f>P23/P24</f>
        <v>2.806097443247217</v>
      </c>
      <c r="Q208" s="59">
        <f>Q23/Q24</f>
        <v>3.052444277954673</v>
      </c>
      <c r="R208" s="59">
        <f>R23/R24</f>
        <v>3.4222205693672252</v>
      </c>
      <c r="S208" s="59">
        <f>S23/S24</f>
        <v>3.2008566302474493</v>
      </c>
      <c r="T208" s="59">
        <f>T23/T24</f>
        <v>3.2633091228350226</v>
      </c>
      <c r="U208" s="59">
        <f>U23/U24</f>
        <v>3.7988057536922484</v>
      </c>
      <c r="V208" s="59">
        <f>V23/V24</f>
        <v>4.3433946436338777</v>
      </c>
      <c r="W208" s="59">
        <f>W23/W24</f>
        <v>4.1166411212326066</v>
      </c>
      <c r="X208" s="60"/>
      <c r="Y208" s="45" t="s">
        <v>184</v>
      </c>
      <c r="Z208" s="54">
        <f>MIN(D277:W306)</f>
        <v>8.4224368401352011E-3</v>
      </c>
      <c r="AA208" s="45">
        <f>MAX(D277:W306)</f>
        <v>3.0332117091203483</v>
      </c>
      <c r="AB208" s="45">
        <f>AVERAGE(D277:W306)</f>
        <v>0.58074999708108854</v>
      </c>
      <c r="AC208" s="45">
        <f>MEDIAN(D277:W306)</f>
        <v>0.49375820498552636</v>
      </c>
      <c r="AD208" s="45">
        <f>STDEV(D277:W306)</f>
        <v>0.44440879967612262</v>
      </c>
    </row>
    <row r="209" spans="1:30" ht="17">
      <c r="A209" s="78">
        <v>5</v>
      </c>
      <c r="B209" s="94" t="str">
        <f>B28</f>
        <v>PT SELAMAT SEMPURNA Tbk</v>
      </c>
      <c r="C209" s="94" t="str">
        <f>C28</f>
        <v>SMSM</v>
      </c>
      <c r="D209" s="59">
        <f>D29/D30</f>
        <v>4.0460018182695867</v>
      </c>
      <c r="E209" s="59">
        <f>E29/E30</f>
        <v>4.7970309159480173</v>
      </c>
      <c r="F209" s="59">
        <f>F29/F30</f>
        <v>4.7970309159480173</v>
      </c>
      <c r="G209" s="59">
        <f>G29/G30</f>
        <v>4.6365158112022762</v>
      </c>
      <c r="H209" s="59">
        <f>H29/H30</f>
        <v>3.9877185518209441</v>
      </c>
      <c r="I209" s="59">
        <f>I29/I30</f>
        <v>5.4170882704577465</v>
      </c>
      <c r="J209" s="59">
        <f>J29/J30</f>
        <v>6.2719559953191437</v>
      </c>
      <c r="K209" s="59">
        <f>K29/K30</f>
        <v>5.7605976023614929</v>
      </c>
      <c r="L209" s="59">
        <f>L29/L30</f>
        <v>4.425857930137262</v>
      </c>
      <c r="M209" s="59">
        <f>M29/M30</f>
        <v>3.5449851361247497</v>
      </c>
      <c r="N209" s="59">
        <f>N29/N30</f>
        <v>4.180826374480934</v>
      </c>
      <c r="O209" s="59">
        <f>O29/O30</f>
        <v>4.1752773673887358</v>
      </c>
      <c r="P209" s="59">
        <f>P29/P30</f>
        <v>4.3701215111998772</v>
      </c>
      <c r="Q209" s="59">
        <f>Q29/Q30</f>
        <v>4.3975284280461659</v>
      </c>
      <c r="R209" s="59">
        <f>R29/R30</f>
        <v>3.8821503963401649</v>
      </c>
      <c r="S209" s="59">
        <f>S29/S30</f>
        <v>4.4302079919181256</v>
      </c>
      <c r="T209" s="59">
        <f>T29/T30</f>
        <v>4.8853243258412027</v>
      </c>
      <c r="U209" s="59">
        <f>U29/U30</f>
        <v>5.2099038429322881</v>
      </c>
      <c r="V209" s="59">
        <f>V29/V30</f>
        <v>5.1227560349786598</v>
      </c>
      <c r="W209" s="59">
        <f>W29/W30</f>
        <v>5.1741079455815928</v>
      </c>
      <c r="X209" s="60"/>
      <c r="Y209" s="45" t="s">
        <v>185</v>
      </c>
      <c r="Z209" s="54">
        <f>MIN(D205:W219)</f>
        <v>0.27097061377584158</v>
      </c>
      <c r="AA209" s="45">
        <f>MAX(D205:W219)</f>
        <v>51.192821297950161</v>
      </c>
      <c r="AB209" s="45">
        <f>AVERAGE(D205:W219)</f>
        <v>4.3660786427227523</v>
      </c>
      <c r="AC209" s="45">
        <f>MEDIAN(D205:W219)</f>
        <v>3.0352857243710512</v>
      </c>
      <c r="AD209" s="45">
        <f>STDEV(D205:W219)</f>
        <v>6.2848169115062502</v>
      </c>
    </row>
    <row r="210" spans="1:30" ht="17">
      <c r="A210" s="78">
        <v>6</v>
      </c>
      <c r="B210" s="94" t="str">
        <f>B34</f>
        <v>Aneka Tambang Tbk.</v>
      </c>
      <c r="C210" s="94" t="str">
        <f>C34</f>
        <v>ANTM</v>
      </c>
      <c r="D210" s="59">
        <f>D35/D36</f>
        <v>1.5103436460630706</v>
      </c>
      <c r="E210" s="59">
        <f>E35/E36</f>
        <v>1.4532367742243308</v>
      </c>
      <c r="F210" s="59">
        <f>F35/F36</f>
        <v>1.4532367742243308</v>
      </c>
      <c r="G210" s="59">
        <f>G35/G36</f>
        <v>1.4481190908098218</v>
      </c>
      <c r="H210" s="59">
        <f>H35/H36</f>
        <v>1.3185493595399089</v>
      </c>
      <c r="I210" s="59">
        <f>I35/I36</f>
        <v>1.6013875223204104</v>
      </c>
      <c r="J210" s="59">
        <f>J35/J36</f>
        <v>1.9420306450001035</v>
      </c>
      <c r="K210" s="59">
        <f>K35/K36</f>
        <v>1.2114653525146291</v>
      </c>
      <c r="L210" s="59">
        <f>L35/L36</f>
        <v>1.2390800445491148</v>
      </c>
      <c r="M210" s="59">
        <f>M35/M36</f>
        <v>1.2610907552636632</v>
      </c>
      <c r="N210" s="59">
        <f>N35/N36</f>
        <v>1.2502389400463969</v>
      </c>
      <c r="O210" s="59">
        <f>O35/O36</f>
        <v>1.7871774628210515</v>
      </c>
      <c r="P210" s="59">
        <f>P35/P36</f>
        <v>1.645015456211655</v>
      </c>
      <c r="Q210" s="59">
        <f>Q35/Q36</f>
        <v>1.645015456211655</v>
      </c>
      <c r="R210" s="59">
        <f>R35/R36</f>
        <v>1.6800163075679297</v>
      </c>
      <c r="S210" s="59">
        <f>S35/S36</f>
        <v>1.9583792585715669</v>
      </c>
      <c r="T210" s="59">
        <f>T35/T36</f>
        <v>2.0749879983647102</v>
      </c>
      <c r="U210" s="59">
        <f>U35/U36</f>
        <v>1.5435155580490365</v>
      </c>
      <c r="V210" s="59">
        <f>V35/V36</f>
        <v>1.7107821659022102</v>
      </c>
      <c r="W210" s="59">
        <f>W35/W36</f>
        <v>2.3394958747452321</v>
      </c>
      <c r="X210" s="60"/>
      <c r="Y210" s="45" t="s">
        <v>186</v>
      </c>
      <c r="Z210" s="54">
        <f>MIN(D241:W255)</f>
        <v>-19.486371089515693</v>
      </c>
      <c r="AA210" s="45">
        <f>MAX(D241:W255)</f>
        <v>30.517581342132466</v>
      </c>
      <c r="AB210" s="45">
        <f>AVERAGE(D241:W255)</f>
        <v>0.26789859253191212</v>
      </c>
      <c r="AC210" s="45">
        <f>MEDIAN(D241:W255)</f>
        <v>3.3588364449634402E-2</v>
      </c>
      <c r="AD210" s="45">
        <f>STDEV(D241:W255)</f>
        <v>3.099590037162351</v>
      </c>
    </row>
    <row r="211" spans="1:30" ht="17">
      <c r="A211" s="78">
        <v>7</v>
      </c>
      <c r="B211" s="94" t="str">
        <f>B40</f>
        <v xml:space="preserve">Indo Tambangraya Megah Tbk </v>
      </c>
      <c r="C211" s="94" t="str">
        <f>C40</f>
        <v>ITMG</v>
      </c>
      <c r="D211" s="59">
        <f>D41/D42</f>
        <v>1.503069361334922</v>
      </c>
      <c r="E211" s="59">
        <f>E41/E42</f>
        <v>1.503069361334922</v>
      </c>
      <c r="F211" s="59">
        <f>F41/F42</f>
        <v>1.9198531105336747</v>
      </c>
      <c r="G211" s="59">
        <f>G41/G42</f>
        <v>1.9198531105336747</v>
      </c>
      <c r="H211" s="59">
        <f>H41/H42</f>
        <v>1.8098560254349043</v>
      </c>
      <c r="I211" s="59">
        <f>I41/I42</f>
        <v>1.6011670384621144</v>
      </c>
      <c r="J211" s="59">
        <f>J41/J42</f>
        <v>1.8665615242319982</v>
      </c>
      <c r="K211" s="59">
        <f>K41/K42</f>
        <v>2.0257260009647853</v>
      </c>
      <c r="L211" s="59">
        <f>L41/L42</f>
        <v>2.231054733597738</v>
      </c>
      <c r="M211" s="59">
        <f>M41/M42</f>
        <v>1.9814050906118696</v>
      </c>
      <c r="N211" s="59">
        <f>N41/N42</f>
        <v>2.1992631921118213</v>
      </c>
      <c r="O211" s="59">
        <f>O41/O42</f>
        <v>2.7088223763033148</v>
      </c>
      <c r="P211" s="59">
        <f>P41/P42</f>
        <v>3.200611362970891</v>
      </c>
      <c r="Q211" s="59">
        <f>Q41/Q42</f>
        <v>3.200611362970891</v>
      </c>
      <c r="R211" s="59">
        <f>R41/R42</f>
        <v>3.9192502550828854</v>
      </c>
      <c r="S211" s="59">
        <f>S41/S42</f>
        <v>3.2590550414693662</v>
      </c>
      <c r="T211" s="59">
        <f>T41/T42</f>
        <v>1.9878609505337717</v>
      </c>
      <c r="U211" s="59">
        <f>U41/U42</f>
        <v>4.3787676253719114</v>
      </c>
      <c r="V211" s="59">
        <f>V41/V42</f>
        <v>3.7010951489128447</v>
      </c>
      <c r="W211" s="59">
        <f>W41/W42</f>
        <v>4.3495483493852252</v>
      </c>
      <c r="X211" s="60"/>
      <c r="Y211" s="45" t="s">
        <v>187</v>
      </c>
      <c r="Z211" s="54">
        <f>MIN(D277:W291)</f>
        <v>8.4224368401352011E-3</v>
      </c>
      <c r="AA211" s="45">
        <f>MAX(D277:W291)</f>
        <v>0.68811911295993233</v>
      </c>
      <c r="AB211" s="45">
        <f>AVERAGE(D277:W291)</f>
        <v>0.25234324953830967</v>
      </c>
      <c r="AC211" s="45">
        <f>MEDIAN(D277:W291)</f>
        <v>0.25367361840611979</v>
      </c>
      <c r="AD211" s="45">
        <f>STDEV(D277:W291)</f>
        <v>0.11301672047408096</v>
      </c>
    </row>
    <row r="212" spans="1:30" ht="17">
      <c r="A212" s="78">
        <v>8</v>
      </c>
      <c r="B212" s="94" t="str">
        <f>B46</f>
        <v xml:space="preserve">Tambang Batubara Bukit Asam Tbk </v>
      </c>
      <c r="C212" s="94" t="str">
        <f>C46</f>
        <v>PTBA</v>
      </c>
      <c r="D212" s="59">
        <f>D47/D48</f>
        <v>2.8560292868545685</v>
      </c>
      <c r="E212" s="59">
        <f>E47/E48</f>
        <v>2.3964572738149679</v>
      </c>
      <c r="F212" s="59">
        <f>F47/F48</f>
        <v>2.3964572738149679</v>
      </c>
      <c r="G212" s="59">
        <f>G47/G48</f>
        <v>2.4897162825011923</v>
      </c>
      <c r="H212" s="59">
        <f>H47/H48</f>
        <v>2.6817891208568776</v>
      </c>
      <c r="I212" s="59">
        <f>I47/I48</f>
        <v>1.5241023854899125</v>
      </c>
      <c r="J212" s="59">
        <f>J47/J48</f>
        <v>2.1370975603686557</v>
      </c>
      <c r="K212" s="59">
        <f>K47/K48</f>
        <v>2.1599609756802982</v>
      </c>
      <c r="L212" s="59">
        <f>L47/L48</f>
        <v>2.1912231350976485</v>
      </c>
      <c r="M212" s="59">
        <f>M47/M48</f>
        <v>1.8645019222488886</v>
      </c>
      <c r="N212" s="59">
        <f>N47/N48</f>
        <v>2.3350965465944373</v>
      </c>
      <c r="O212" s="59">
        <f>O47/O48</f>
        <v>2.4279905453489548</v>
      </c>
      <c r="P212" s="59">
        <f>P47/P48</f>
        <v>2.6296006673642438</v>
      </c>
      <c r="Q212" s="59">
        <f>Q47/Q48</f>
        <v>1.9974222594890743</v>
      </c>
      <c r="R212" s="59">
        <f>R47/R48</f>
        <v>2.245680895299587</v>
      </c>
      <c r="S212" s="59">
        <f>S47/S48</f>
        <v>2.282998529216635</v>
      </c>
      <c r="T212" s="59">
        <f>T47/T48</f>
        <v>2.2906515419019273</v>
      </c>
      <c r="U212" s="59">
        <f>U47/U48</f>
        <v>1.1491598545600941</v>
      </c>
      <c r="V212" s="59">
        <f>V47/V48</f>
        <v>1.3812025697402532</v>
      </c>
      <c r="W212" s="59">
        <f>W47/W48</f>
        <v>1.5196832375594911</v>
      </c>
      <c r="X212" s="60"/>
      <c r="Y212" s="45" t="s">
        <v>188</v>
      </c>
      <c r="Z212" s="54">
        <f>MIN(D220:W234)</f>
        <v>2.1358264622076482E-2</v>
      </c>
      <c r="AA212" s="45">
        <f>MAX(D220:W234)</f>
        <v>18.908929411150009</v>
      </c>
      <c r="AB212" s="45">
        <f>AVERAGE(D220:W234)</f>
        <v>0.80835740045384663</v>
      </c>
      <c r="AC212" s="45">
        <f>MEDIAN(D220:W234)</f>
        <v>0.71</v>
      </c>
      <c r="AD212" s="45">
        <f>STDEV(D220:W234)</f>
        <v>1.1562932052417139</v>
      </c>
    </row>
    <row r="213" spans="1:30" ht="17">
      <c r="A213" s="78">
        <v>9</v>
      </c>
      <c r="B213" s="94" t="str">
        <f>B52</f>
        <v>Kalbe Farma Tbk</v>
      </c>
      <c r="C213" s="94" t="str">
        <f>C52</f>
        <v>KLBF</v>
      </c>
      <c r="D213" s="59">
        <f>D53/D54</f>
        <v>4.2707123145004537</v>
      </c>
      <c r="E213" s="59">
        <f>E53/E54</f>
        <v>4.0104077779714178</v>
      </c>
      <c r="F213" s="59">
        <f>F53/F54</f>
        <v>4.3438334199575053</v>
      </c>
      <c r="G213" s="59">
        <f>G53/G54</f>
        <v>4.3546826400661676</v>
      </c>
      <c r="H213" s="59">
        <f>H53/H54</f>
        <v>3.2924403271841758</v>
      </c>
      <c r="I213" s="59">
        <f>I53/I54</f>
        <v>3.2673643906521792</v>
      </c>
      <c r="J213" s="59">
        <f>J53/J54</f>
        <v>3.8331558341069667</v>
      </c>
      <c r="K213" s="59">
        <f>K53/K54</f>
        <v>4.1159769553526786</v>
      </c>
      <c r="L213" s="59">
        <f>L53/L54</f>
        <v>4.0173744370256985</v>
      </c>
      <c r="M213" s="59">
        <f>M53/M54</f>
        <v>4.3605065330288468</v>
      </c>
      <c r="N213" s="59">
        <f>N53/N54</f>
        <v>4.337664838863069</v>
      </c>
      <c r="O213" s="59">
        <f>O53/O54</f>
        <v>4.445187625075941</v>
      </c>
      <c r="P213" s="59">
        <f>P53/P54</f>
        <v>4.1773445768816337</v>
      </c>
      <c r="Q213" s="59">
        <f>Q53/Q54</f>
        <v>4.0820573780529745</v>
      </c>
      <c r="R213" s="59">
        <f>R53/R54</f>
        <v>3.7969533838885248</v>
      </c>
      <c r="S213" s="59">
        <f>S53/S54</f>
        <v>3.7711768296281614</v>
      </c>
      <c r="T213" s="59">
        <f>T53/T54</f>
        <v>3.8095771252730719</v>
      </c>
      <c r="U213" s="59">
        <f>U53/U54</f>
        <v>3.3453882678739411</v>
      </c>
      <c r="V213" s="59">
        <f>V53/V54</f>
        <v>3.9047103495593976</v>
      </c>
      <c r="W213" s="59">
        <f>W53/W54</f>
        <v>4.90807797385939</v>
      </c>
      <c r="X213" s="60"/>
      <c r="Y213" s="45" t="s">
        <v>189</v>
      </c>
      <c r="Z213" s="54">
        <f>MIN(D256:W270)</f>
        <v>-0.23312379402614319</v>
      </c>
      <c r="AA213" s="45">
        <f>MAX(D256:W270)</f>
        <v>0.68768934266326942</v>
      </c>
      <c r="AB213" s="45">
        <f>AVERAGE(D256:W270)</f>
        <v>2.3209640369471537E-2</v>
      </c>
      <c r="AC213" s="45">
        <f>MEDIAN(D256:W270)</f>
        <v>-1.0129892731160952E-3</v>
      </c>
      <c r="AD213" s="45">
        <f>STDEV(D256:W270)</f>
        <v>0.11083559560932139</v>
      </c>
    </row>
    <row r="214" spans="1:30" ht="17">
      <c r="A214" s="78">
        <v>10</v>
      </c>
      <c r="B214" s="63" t="str">
        <f>B58</f>
        <v>Pakuwon Jati Tbk</v>
      </c>
      <c r="C214" s="63" t="str">
        <f>C58</f>
        <v>PWON</v>
      </c>
      <c r="D214" s="59">
        <f>D59/D60</f>
        <v>2.3670057043472701</v>
      </c>
      <c r="E214" s="59">
        <f>E59/E60</f>
        <v>2.6545082436675962</v>
      </c>
      <c r="F214" s="59">
        <f>F59/F60</f>
        <v>2.6545082436675962</v>
      </c>
      <c r="G214" s="59">
        <f>G59/G60</f>
        <v>2.8586751042539729</v>
      </c>
      <c r="H214" s="59">
        <f>H59/H60</f>
        <v>2.4794554430458087</v>
      </c>
      <c r="I214" s="59">
        <f>I59/I60</f>
        <v>2.4794554430458087</v>
      </c>
      <c r="J214" s="59">
        <f>J59/J60</f>
        <v>2.7566481192543324</v>
      </c>
      <c r="K214" s="59">
        <f>K59/K60</f>
        <v>1.9807750882208259</v>
      </c>
      <c r="L214" s="59">
        <f>L59/L60</f>
        <v>1.9949973760160056</v>
      </c>
      <c r="M214" s="59">
        <f>M59/M60</f>
        <v>2.6018642305274149</v>
      </c>
      <c r="N214" s="59">
        <f>N59/N60</f>
        <v>2.9404308968935631</v>
      </c>
      <c r="O214" s="59">
        <f>O59/O60</f>
        <v>3.7936776011618822</v>
      </c>
      <c r="P214" s="59">
        <f>P59/P60</f>
        <v>4.4256380424000561</v>
      </c>
      <c r="Q214" s="59">
        <f>Q59/Q60</f>
        <v>4.4256380424000561</v>
      </c>
      <c r="R214" s="59">
        <f>R59/R60</f>
        <v>4.6005971923466475</v>
      </c>
      <c r="S214" s="59">
        <f>S59/S60</f>
        <v>4.6529203649945305</v>
      </c>
      <c r="T214" s="59">
        <f>T59/T60</f>
        <v>4.33513864896348</v>
      </c>
      <c r="U214" s="59">
        <f>U59/U60</f>
        <v>4.2017457031461909</v>
      </c>
      <c r="V214" s="59">
        <f>V59/V60</f>
        <v>4.6988637720424205</v>
      </c>
      <c r="W214" s="59">
        <f>W59/W60</f>
        <v>5.1558849811126493</v>
      </c>
      <c r="X214" s="60"/>
      <c r="Y214" s="45" t="s">
        <v>190</v>
      </c>
      <c r="Z214" s="54">
        <f>MIN(D292:W306)</f>
        <v>0.46147298014866189</v>
      </c>
      <c r="AA214" s="45">
        <f>MAX(D292:W306)</f>
        <v>3.0332117091203483</v>
      </c>
      <c r="AB214" s="45">
        <f>AVERAGE(D292:W306)</f>
        <v>0.90915674462386653</v>
      </c>
      <c r="AC214" s="45">
        <f>MEDIAN(D292:W306)</f>
        <v>0.77798366457985146</v>
      </c>
      <c r="AD214" s="45">
        <f>STDEV(D292:W306)</f>
        <v>0.40799843229021254</v>
      </c>
    </row>
    <row r="215" spans="1:30" ht="17">
      <c r="A215" s="78">
        <v>11</v>
      </c>
      <c r="B215" s="94" t="str">
        <f>B64</f>
        <v>Surya Citra Media Tbk</v>
      </c>
      <c r="C215" s="94" t="str">
        <f>C64</f>
        <v>SCMA</v>
      </c>
      <c r="D215" s="59">
        <f>D65/D66</f>
        <v>4.42500651268276</v>
      </c>
      <c r="E215" s="59">
        <f>E65/E66</f>
        <v>3.7884094719629928</v>
      </c>
      <c r="F215" s="59">
        <f>F65/F66</f>
        <v>3.5756505941368681</v>
      </c>
      <c r="G215" s="59">
        <f>G65/G66</f>
        <v>3.5990283716844522</v>
      </c>
      <c r="H215" s="59">
        <f>H65/H66</f>
        <v>3.4900040693949284</v>
      </c>
      <c r="I215" s="59">
        <f>I65/I66</f>
        <v>4.0779386824337802</v>
      </c>
      <c r="J215" s="59">
        <f>J65/J66</f>
        <v>3.596269930948309</v>
      </c>
      <c r="K215" s="59">
        <f>K65/K66</f>
        <v>2.3397726731315798</v>
      </c>
      <c r="L215" s="59">
        <f>L65/L66</f>
        <v>2.4530191368082419</v>
      </c>
      <c r="M215" s="59">
        <f>M65/M66</f>
        <v>2.9554595277699893</v>
      </c>
      <c r="N215" s="59">
        <f>N65/N66</f>
        <v>2.807085595383791</v>
      </c>
      <c r="O215" s="59">
        <f>O65/O66</f>
        <v>3.9231721075139583</v>
      </c>
      <c r="P215" s="59">
        <f>P65/P66</f>
        <v>4.0146423590829876</v>
      </c>
      <c r="Q215" s="59">
        <f>Q65/Q66</f>
        <v>4.3056578672168317</v>
      </c>
      <c r="R215" s="59">
        <f>R65/R66</f>
        <v>4.3056578672168317</v>
      </c>
      <c r="S215" s="59">
        <f>S65/S66</f>
        <v>3.6626138550254912</v>
      </c>
      <c r="T215" s="59">
        <f>T65/T66</f>
        <v>4.1043270879139557</v>
      </c>
      <c r="U215" s="59">
        <f>U65/U66</f>
        <v>3.3139347344341945</v>
      </c>
      <c r="V215" s="59">
        <f>V65/V66</f>
        <v>3.6075250417641338</v>
      </c>
      <c r="W215" s="59">
        <f>W65/W66</f>
        <v>3.2600571985808298</v>
      </c>
      <c r="X215" s="60"/>
    </row>
    <row r="216" spans="1:30" ht="17">
      <c r="A216" s="78">
        <v>12</v>
      </c>
      <c r="B216" s="94" t="str">
        <f>B70</f>
        <v>United Tractors Tbk</v>
      </c>
      <c r="C216" s="94" t="str">
        <f>C70</f>
        <v>UNTR</v>
      </c>
      <c r="D216" s="59">
        <f>D71/D72</f>
        <v>1.3274932820955005</v>
      </c>
      <c r="E216" s="59">
        <f>E71/E72</f>
        <v>1.3976259392323043</v>
      </c>
      <c r="F216" s="59">
        <f>F71/F72</f>
        <v>1.3976259392323043</v>
      </c>
      <c r="G216" s="59">
        <f>G71/G72</f>
        <v>1.5598014382396554</v>
      </c>
      <c r="H216" s="59">
        <f>H71/H72</f>
        <v>1.8062788134510168</v>
      </c>
      <c r="I216" s="59">
        <f>I71/I72</f>
        <v>1.7525553740403848</v>
      </c>
      <c r="J216" s="59">
        <f>J71/J72</f>
        <v>1.9776703983926434</v>
      </c>
      <c r="K216" s="59">
        <f>K71/K72</f>
        <v>2.11020594901867</v>
      </c>
      <c r="L216" s="59">
        <f>L71/L72</f>
        <v>1.9640762392780502</v>
      </c>
      <c r="M216" s="59">
        <f>M71/M72</f>
        <v>1.9049352292734953</v>
      </c>
      <c r="N216" s="59">
        <f>N71/N72</f>
        <v>1.9362936707996796</v>
      </c>
      <c r="O216" s="59">
        <f>O71/O72</f>
        <v>1.9877212987227157</v>
      </c>
      <c r="P216" s="59">
        <f>P71/P72</f>
        <v>2.0346397345058649</v>
      </c>
      <c r="Q216" s="59">
        <f>Q71/Q72</f>
        <v>1.9383426716717391</v>
      </c>
      <c r="R216" s="59">
        <f>R71/R72</f>
        <v>1.7415247364778037</v>
      </c>
      <c r="S216" s="59">
        <f>S71/S72</f>
        <v>1.877614796461494</v>
      </c>
      <c r="T216" s="59">
        <f>T71/T72</f>
        <v>1.7270266732074233</v>
      </c>
      <c r="U216" s="59">
        <f>U71/U72</f>
        <v>1.3611912748220625</v>
      </c>
      <c r="V216" s="59">
        <f>V71/V72</f>
        <v>1.1078475511068215</v>
      </c>
      <c r="W216" s="59">
        <f>W71/W72</f>
        <v>1.4560776437749086</v>
      </c>
      <c r="X216" s="60"/>
    </row>
    <row r="217" spans="1:30" ht="17">
      <c r="A217" s="78">
        <v>13</v>
      </c>
      <c r="B217" s="94" t="str">
        <f>B76</f>
        <v>Vale Indonesia Tbk</v>
      </c>
      <c r="C217" s="94" t="str">
        <f>C76</f>
        <v>INCO</v>
      </c>
      <c r="D217" s="59">
        <f>D77/D78</f>
        <v>3.7242627473016663</v>
      </c>
      <c r="E217" s="59">
        <f>E77/E78</f>
        <v>4.3336914927708348</v>
      </c>
      <c r="F217" s="59">
        <f>F77/F78</f>
        <v>4.3336914927708348</v>
      </c>
      <c r="G217" s="59">
        <f>G77/G78</f>
        <v>4.3083440740523757</v>
      </c>
      <c r="H217" s="59">
        <f>H77/H78</f>
        <v>5.3779355187286324</v>
      </c>
      <c r="I217" s="59">
        <f>I77/I78</f>
        <v>4.9734998477002739</v>
      </c>
      <c r="J217" s="59">
        <f>J77/J78</f>
        <v>0.47716037034920272</v>
      </c>
      <c r="K217" s="59">
        <f>K77/K78</f>
        <v>43.306079273225066</v>
      </c>
      <c r="L217" s="59">
        <f>L77/L78</f>
        <v>4.7325179740530992</v>
      </c>
      <c r="M217" s="59">
        <f>M77/M78</f>
        <v>4.5796706744647206</v>
      </c>
      <c r="N217" s="59">
        <f>N77/N78</f>
        <v>5.0004768864886291</v>
      </c>
      <c r="O217" s="59">
        <f>O77/O78</f>
        <v>49.669061331116787</v>
      </c>
      <c r="P217" s="59">
        <f>P77/P78</f>
        <v>5.1850537981177984</v>
      </c>
      <c r="Q217" s="59">
        <f>Q77/Q78</f>
        <v>5.6767905393550198</v>
      </c>
      <c r="R217" s="59">
        <f>R77/R78</f>
        <v>5.2701197968706541</v>
      </c>
      <c r="S217" s="59">
        <f>S77/S78</f>
        <v>5.6547512268694407</v>
      </c>
      <c r="T217" s="59">
        <f>T77/T78</f>
        <v>5.2931089049133071</v>
      </c>
      <c r="U217" s="59">
        <f>U77/U78</f>
        <v>5.2898729230662687</v>
      </c>
      <c r="V217" s="59">
        <f>V77/V78</f>
        <v>4.9766402287565432</v>
      </c>
      <c r="W217" s="59">
        <f>W77/W78</f>
        <v>4.7669141362174532</v>
      </c>
      <c r="X217" s="60"/>
    </row>
    <row r="218" spans="1:30" ht="17">
      <c r="A218" s="78">
        <v>14</v>
      </c>
      <c r="B218" s="94" t="str">
        <f>B82</f>
        <v xml:space="preserve">PT Chitose Internasional Tbk </v>
      </c>
      <c r="C218" s="94" t="str">
        <f>C82</f>
        <v>CINT</v>
      </c>
      <c r="D218" s="59">
        <f>D83/D84</f>
        <v>2.8316500212359133</v>
      </c>
      <c r="E218" s="59">
        <f>E83/E84</f>
        <v>2.5848002430239561</v>
      </c>
      <c r="F218" s="59">
        <f>F83/F84</f>
        <v>2.6581438740673979</v>
      </c>
      <c r="G218" s="59">
        <f>G83/G84</f>
        <v>2.3770615663326295</v>
      </c>
      <c r="H218" s="59">
        <f>H83/H84</f>
        <v>2.4130584039938072</v>
      </c>
      <c r="I218" s="59">
        <f>I83/I84</f>
        <v>2.5104955305630714</v>
      </c>
      <c r="J218" s="59">
        <f>J83/J84</f>
        <v>2.6255226062601444</v>
      </c>
      <c r="K218" s="59">
        <f>K83/K84</f>
        <v>2.4938903828885994</v>
      </c>
      <c r="L218" s="59">
        <f>L83/L84</f>
        <v>2.2600371475727745</v>
      </c>
      <c r="M218" s="59">
        <f>M83/M84</f>
        <v>2.2959972773367912</v>
      </c>
      <c r="N218" s="59">
        <f>N83/N84</f>
        <v>2.0114288056943082</v>
      </c>
      <c r="O218" s="59">
        <f>O83/O84</f>
        <v>1.3207387442059717</v>
      </c>
      <c r="P218" s="59">
        <f>P83/P84</f>
        <v>1.248352297641651</v>
      </c>
      <c r="Q218" s="59">
        <f>Q83/Q84</f>
        <v>1.248352297641651</v>
      </c>
      <c r="R218" s="59">
        <f>R83/R84</f>
        <v>1.3237912524416215</v>
      </c>
      <c r="S218" s="59">
        <f>S83/S84</f>
        <v>1.3958014966153129</v>
      </c>
      <c r="T218" s="59">
        <f>T83/T84</f>
        <v>1.3524967640451344</v>
      </c>
      <c r="U218" s="59">
        <f>U83/U84</f>
        <v>1.3178966487654917</v>
      </c>
      <c r="V218" s="59">
        <f>V83/V84</f>
        <v>1.4019395992292956</v>
      </c>
      <c r="W218" s="59">
        <f>W83/W84</f>
        <v>1.4347971815764307</v>
      </c>
      <c r="X218" s="60"/>
    </row>
    <row r="219" spans="1:30" ht="17">
      <c r="A219" s="78">
        <v>15</v>
      </c>
      <c r="B219" s="94" t="str">
        <f>B88</f>
        <v>Ekadharma International Tbk</v>
      </c>
      <c r="C219" s="94" t="str">
        <f>C88</f>
        <v>EKAD</v>
      </c>
      <c r="D219" s="59">
        <f>D89/D90</f>
        <v>5.4374858669758712</v>
      </c>
      <c r="E219" s="59">
        <f>E89/E90</f>
        <v>7.0323065085591994</v>
      </c>
      <c r="F219" s="59">
        <f>F89/F90</f>
        <v>6.9471098426928126</v>
      </c>
      <c r="G219" s="59">
        <f>G89/G90</f>
        <v>6.9169656841595195</v>
      </c>
      <c r="H219" s="59">
        <f>H89/H90</f>
        <v>7.236844692701931</v>
      </c>
      <c r="I219" s="59">
        <f>I89/I90</f>
        <v>11.615954089906085</v>
      </c>
      <c r="J219" s="59">
        <f>J89/J90</f>
        <v>7.1541291705219461</v>
      </c>
      <c r="K219" s="59">
        <f>K89/K90</f>
        <v>8.1050334768986616</v>
      </c>
      <c r="L219" s="59">
        <f>L89/L90</f>
        <v>7.7916923328875338</v>
      </c>
      <c r="M219" s="59">
        <f>M89/M90</f>
        <v>7.9958577808143536</v>
      </c>
      <c r="N219" s="59">
        <f>N89/N90</f>
        <v>7.1532722309834798</v>
      </c>
      <c r="O219" s="59">
        <f>O89/O90</f>
        <v>7.7580745918995664</v>
      </c>
      <c r="P219" s="59">
        <f>P89/P90</f>
        <v>11.017128788673155</v>
      </c>
      <c r="Q219" s="59">
        <f>Q89/Q90</f>
        <v>10.281807147478679</v>
      </c>
      <c r="R219" s="59">
        <f>R89/R90</f>
        <v>10.87281730464278</v>
      </c>
      <c r="S219" s="59">
        <f>S89/S90</f>
        <v>11.755554723005035</v>
      </c>
      <c r="T219" s="59">
        <f>T89/T90</f>
        <v>12.656088746441778</v>
      </c>
      <c r="U219" s="59">
        <f>U89/U90</f>
        <v>9.317999217426749</v>
      </c>
      <c r="V219" s="59">
        <f>V89/V90</f>
        <v>12.242799471193173</v>
      </c>
      <c r="W219" s="59">
        <f>W89/W90</f>
        <v>14.206918490495569</v>
      </c>
      <c r="X219" s="60"/>
    </row>
    <row r="220" spans="1:30" ht="17">
      <c r="A220" s="78">
        <v>16</v>
      </c>
      <c r="B220" s="94" t="str">
        <f>B94</f>
        <v xml:space="preserve">PT Borneo Olah Sarana Sukses Tbk </v>
      </c>
      <c r="C220" s="94" t="str">
        <f>C94</f>
        <v>BOSS</v>
      </c>
      <c r="D220" s="59">
        <f>D95/D96</f>
        <v>0.78133144413800859</v>
      </c>
      <c r="E220" s="59">
        <f>E95/E96</f>
        <v>0.782544539324319</v>
      </c>
      <c r="F220" s="59">
        <f>F95/F96</f>
        <v>0.82538588929564827</v>
      </c>
      <c r="G220" s="59">
        <f>G95/G96</f>
        <v>1.0899376141373449</v>
      </c>
      <c r="H220" s="59">
        <f>H95/H96</f>
        <v>1.44689485397273</v>
      </c>
      <c r="I220" s="59">
        <f>I95/I96</f>
        <v>1.1360215881526745</v>
      </c>
      <c r="J220" s="59">
        <f>J95/J96</f>
        <v>1.2185180120558334</v>
      </c>
      <c r="K220" s="59">
        <f>K95/K96</f>
        <v>0.87546419220179106</v>
      </c>
      <c r="L220" s="59">
        <f>L95/L96</f>
        <v>0.57783771747844226</v>
      </c>
      <c r="M220" s="59">
        <f>M95/M96</f>
        <v>0.44639830756178422</v>
      </c>
      <c r="N220" s="59">
        <f>N95/N96</f>
        <v>0.42242382764245018</v>
      </c>
      <c r="O220" s="59">
        <f>O95/O96</f>
        <v>0.43082994409442399</v>
      </c>
      <c r="P220" s="59">
        <f>P95/P96</f>
        <v>0.58741435440109258</v>
      </c>
      <c r="Q220" s="59">
        <f>Q95/Q96</f>
        <v>0.73922773067692038</v>
      </c>
      <c r="R220" s="59">
        <f>R95/R96</f>
        <v>1.0358688601997899</v>
      </c>
      <c r="S220" s="59">
        <f>S95/S96</f>
        <v>1.3764651910386696</v>
      </c>
      <c r="T220" s="59">
        <f>T95/T96</f>
        <v>0.85388604932917866</v>
      </c>
      <c r="U220" s="59">
        <f>U95/U96</f>
        <v>1.1594011324739752</v>
      </c>
      <c r="V220" s="59">
        <f>V95/V96</f>
        <v>0.62688234213540994</v>
      </c>
      <c r="W220" s="59">
        <f>W95/W96</f>
        <v>0.57943796660385882</v>
      </c>
      <c r="X220" s="60"/>
    </row>
    <row r="221" spans="1:30" ht="17">
      <c r="A221" s="78">
        <v>17</v>
      </c>
      <c r="B221" s="94" t="str">
        <f>B100</f>
        <v>PT ETERINDO WAHANATAMA</v>
      </c>
      <c r="C221" s="94" t="str">
        <f>C100</f>
        <v>ETWA</v>
      </c>
      <c r="D221" s="59">
        <f>D101/D102</f>
        <v>7.6263883471735891E-2</v>
      </c>
      <c r="E221" s="59">
        <f>E101/E102</f>
        <v>2.1358264622076482E-2</v>
      </c>
      <c r="F221" s="59">
        <f>F101/F102</f>
        <v>3.8514412937006678E-2</v>
      </c>
      <c r="G221" s="59">
        <f>G101/G102</f>
        <v>4.2452910817027505E-2</v>
      </c>
      <c r="H221" s="59">
        <f>H101/H102</f>
        <v>7.3553313989451419E-2</v>
      </c>
      <c r="I221" s="59">
        <f>I101/I102</f>
        <v>5.7484357812824564E-2</v>
      </c>
      <c r="J221" s="59">
        <f>J101/J102</f>
        <v>3.8514412937944206E-2</v>
      </c>
      <c r="K221" s="59">
        <f>K101/K102</f>
        <v>4.2452910818000227E-2</v>
      </c>
      <c r="L221" s="59">
        <f>L101/L102</f>
        <v>4.5983689429893664E-2</v>
      </c>
      <c r="M221" s="59">
        <f>M101/M102</f>
        <v>9.8370699430521624E-2</v>
      </c>
      <c r="N221" s="59">
        <f>N101/N102</f>
        <v>9.8203496576992053E-2</v>
      </c>
      <c r="O221" s="59">
        <f>O101/O102</f>
        <v>9.3084025810693777E-2</v>
      </c>
      <c r="P221" s="59">
        <f>P101/P102</f>
        <v>8.5261513515083154E-2</v>
      </c>
      <c r="Q221" s="59">
        <f>Q101/Q102</f>
        <v>0.19980023292125176</v>
      </c>
      <c r="R221" s="59">
        <f>R101/R102</f>
        <v>0.2070147459120317</v>
      </c>
      <c r="S221" s="59">
        <f>S101/S102</f>
        <v>0.15538852230523625</v>
      </c>
      <c r="T221" s="59">
        <f>T101/T102</f>
        <v>0.14315357250280694</v>
      </c>
      <c r="U221" s="59">
        <f>U101/U102</f>
        <v>0.13908526662847343</v>
      </c>
      <c r="V221" s="59">
        <f>V101/V102</f>
        <v>0.13447741109404029</v>
      </c>
      <c r="W221" s="59">
        <f>W101/W102</f>
        <v>0.13471036022459187</v>
      </c>
      <c r="X221" s="60"/>
    </row>
    <row r="222" spans="1:30" ht="17">
      <c r="A222" s="78">
        <v>18</v>
      </c>
      <c r="B222" s="94" t="str">
        <f>B106</f>
        <v>PT Cowel Development Tbk</v>
      </c>
      <c r="C222" s="94" t="s">
        <v>222</v>
      </c>
      <c r="D222" s="59">
        <f>D107/D108</f>
        <v>0.69543716247305709</v>
      </c>
      <c r="E222" s="59">
        <f>E107/E108</f>
        <v>0.91553766925671476</v>
      </c>
      <c r="F222" s="59">
        <f>F107/F108</f>
        <v>1.0183921627742196</v>
      </c>
      <c r="G222" s="59">
        <f>G107/G108</f>
        <v>1.0133461845701521</v>
      </c>
      <c r="H222" s="59">
        <f>H107/H108</f>
        <v>1.3215045935776992</v>
      </c>
      <c r="I222" s="59">
        <f>I107/I108</f>
        <v>1.6289303178012515</v>
      </c>
      <c r="J222" s="59">
        <f>J107/J108</f>
        <v>1.2425319341762426</v>
      </c>
      <c r="K222" s="59">
        <f>K107/K108</f>
        <v>1.581494199134148</v>
      </c>
      <c r="L222" s="59">
        <f>L107/L108</f>
        <v>1.4314782021200838</v>
      </c>
      <c r="M222" s="59">
        <f>M107/M108</f>
        <v>1.359480905679685</v>
      </c>
      <c r="N222" s="59">
        <f>N107/N108</f>
        <v>1.244911816860782</v>
      </c>
      <c r="O222" s="59">
        <f>O107/O108</f>
        <v>0.85878611549637662</v>
      </c>
      <c r="P222" s="59">
        <f>P107/P108</f>
        <v>0.86448393870688911</v>
      </c>
      <c r="Q222" s="59">
        <f>Q107/Q108</f>
        <v>0.87115467843841154</v>
      </c>
      <c r="R222" s="59">
        <f>R107/R108</f>
        <v>0.85261895349329619</v>
      </c>
      <c r="S222" s="59">
        <f>S107/S108</f>
        <v>0.7380244089823822</v>
      </c>
      <c r="T222" s="59">
        <f>T107/T108</f>
        <v>0.74869849804110555</v>
      </c>
      <c r="U222" s="59">
        <f>U107/U108</f>
        <v>1.3756375413935931</v>
      </c>
      <c r="V222" s="59">
        <f>V107/V108</f>
        <v>1.3983484903951644</v>
      </c>
      <c r="W222" s="59">
        <f>W107/W108</f>
        <v>0.13872050078834663</v>
      </c>
      <c r="X222" s="60"/>
    </row>
    <row r="223" spans="1:30" ht="17">
      <c r="A223" s="78">
        <v>19</v>
      </c>
      <c r="B223" s="94" t="str">
        <f>B194</f>
        <v>Ebit</v>
      </c>
      <c r="C223" s="94" t="s">
        <v>223</v>
      </c>
      <c r="D223" s="59">
        <f>D195/D196</f>
        <v>1.3463840618975011</v>
      </c>
      <c r="E223" s="59">
        <f t="shared" ref="E223:W223" si="3">E195/E196</f>
        <v>1.4558793164680328</v>
      </c>
      <c r="F223" s="59">
        <f t="shared" si="3"/>
        <v>1.3587757678980443</v>
      </c>
      <c r="G223" s="59">
        <f t="shared" si="3"/>
        <v>1.4989796400769013</v>
      </c>
      <c r="H223" s="59">
        <f t="shared" si="3"/>
        <v>1.5494135427975393</v>
      </c>
      <c r="I223" s="59">
        <f t="shared" si="3"/>
        <v>1.7050453887294896</v>
      </c>
      <c r="J223" s="59">
        <f t="shared" si="3"/>
        <v>1.6563158187153701</v>
      </c>
      <c r="K223" s="59">
        <f t="shared" si="3"/>
        <v>1.7487601306398937</v>
      </c>
      <c r="L223" s="59">
        <f t="shared" si="3"/>
        <v>18.908929411150009</v>
      </c>
      <c r="M223" s="59">
        <f t="shared" si="3"/>
        <v>2.0305461086596024</v>
      </c>
      <c r="N223" s="59">
        <f t="shared" si="3"/>
        <v>1.9637697152849698</v>
      </c>
      <c r="O223" s="59">
        <f t="shared" si="3"/>
        <v>1.9747511221723479</v>
      </c>
      <c r="P223" s="59">
        <f t="shared" si="3"/>
        <v>1.7864177977046225</v>
      </c>
      <c r="Q223" s="59">
        <f t="shared" si="3"/>
        <v>0.41743272646809348</v>
      </c>
      <c r="R223" s="59">
        <f t="shared" si="3"/>
        <v>0.4284713236511164</v>
      </c>
      <c r="S223" s="59">
        <f t="shared" si="3"/>
        <v>0.41756454210525662</v>
      </c>
      <c r="T223" s="59">
        <f t="shared" si="3"/>
        <v>0.46242079426411575</v>
      </c>
      <c r="U223" s="59">
        <f t="shared" si="3"/>
        <v>0.45391765494332587</v>
      </c>
      <c r="V223" s="59">
        <f t="shared" si="3"/>
        <v>0.42583316245325209</v>
      </c>
      <c r="W223" s="59">
        <f t="shared" si="3"/>
        <v>0.41472304301953772</v>
      </c>
      <c r="X223" s="60"/>
    </row>
    <row r="224" spans="1:30" ht="17">
      <c r="A224" s="78">
        <v>20</v>
      </c>
      <c r="B224" s="94" t="str">
        <f>B118</f>
        <v>PT Grand Kartech Tbk</v>
      </c>
      <c r="C224" s="94" t="str">
        <f>C118</f>
        <v>KRAH</v>
      </c>
      <c r="D224" s="59">
        <f>D120/D121</f>
        <v>0.71</v>
      </c>
      <c r="E224" s="59">
        <f>E120/E121</f>
        <v>0.71</v>
      </c>
      <c r="F224" s="59">
        <f>F120/F121</f>
        <v>0.71</v>
      </c>
      <c r="G224" s="59">
        <f>G120/G121</f>
        <v>0.71</v>
      </c>
      <c r="H224" s="59">
        <f>H120/H121</f>
        <v>0.71</v>
      </c>
      <c r="I224" s="59">
        <f>I120/I121</f>
        <v>0.71</v>
      </c>
      <c r="J224" s="59">
        <f>J120/J121</f>
        <v>0.71</v>
      </c>
      <c r="K224" s="59">
        <f>K120/K121</f>
        <v>0.71</v>
      </c>
      <c r="L224" s="59">
        <f>L120/L121</f>
        <v>0.71</v>
      </c>
      <c r="M224" s="59">
        <f>M120/M121</f>
        <v>0.71</v>
      </c>
      <c r="N224" s="59">
        <f>N120/N121</f>
        <v>0.71</v>
      </c>
      <c r="O224" s="59">
        <f>O120/O121</f>
        <v>0.71</v>
      </c>
      <c r="P224" s="59">
        <f>P120/P121</f>
        <v>0.71</v>
      </c>
      <c r="Q224" s="59">
        <f>Q120/Q121</f>
        <v>0.93373979791887496</v>
      </c>
      <c r="R224" s="59">
        <f>R120/R121</f>
        <v>1.0647392710549273</v>
      </c>
      <c r="S224" s="59">
        <f>S120/S121</f>
        <v>1.1670147095455681</v>
      </c>
      <c r="T224" s="59">
        <f>T120/T121</f>
        <v>1.0005917950895111</v>
      </c>
      <c r="U224" s="59">
        <f>U120/U121</f>
        <v>0.95663226133208124</v>
      </c>
      <c r="V224" s="59">
        <f>V120/V121</f>
        <v>0.94041749081368897</v>
      </c>
      <c r="W224" s="59">
        <f>W120/W121</f>
        <v>0.94311467250003589</v>
      </c>
      <c r="X224" s="60"/>
    </row>
    <row r="225" spans="1:24" ht="17">
      <c r="A225" s="78">
        <v>21</v>
      </c>
      <c r="B225" s="94" t="str">
        <f>B125</f>
        <v>Prima Alloy Steel Universal</v>
      </c>
      <c r="C225" s="94" t="str">
        <f>C125</f>
        <v>PRAS</v>
      </c>
      <c r="D225" s="59">
        <f>D127/D128</f>
        <v>0.8229825834729263</v>
      </c>
      <c r="E225" s="59">
        <f>E127/E128</f>
        <v>0.80245629554995801</v>
      </c>
      <c r="F225" s="59">
        <f>F127/F128</f>
        <v>0.85745515090507873</v>
      </c>
      <c r="G225" s="59">
        <f>G127/G128</f>
        <v>0.83243493421360171</v>
      </c>
      <c r="H225" s="59">
        <f>H127/H128</f>
        <v>0.60160618986705749</v>
      </c>
      <c r="I225" s="59">
        <f>I127/I128</f>
        <v>0.56696246381742732</v>
      </c>
      <c r="J225" s="59">
        <f>J127/J128</f>
        <v>0.72233539267491331</v>
      </c>
      <c r="K225" s="59">
        <f>K127/K128</f>
        <v>1.8411545042346187</v>
      </c>
      <c r="L225" s="59">
        <f>L127/L128</f>
        <v>2.3795993091920344</v>
      </c>
      <c r="M225" s="59">
        <f>M127/M128</f>
        <v>2.0637609750597474</v>
      </c>
      <c r="N225" s="59">
        <f>N127/N128</f>
        <v>2.1066931606260737</v>
      </c>
      <c r="O225" s="59">
        <f>O127/O128</f>
        <v>1.7731774870189008</v>
      </c>
      <c r="P225" s="59">
        <f>P127/P128</f>
        <v>1.8515304620374005</v>
      </c>
      <c r="Q225" s="59">
        <f>Q127/Q128</f>
        <v>1.5958158313790898</v>
      </c>
      <c r="R225" s="59">
        <f>R127/R128</f>
        <v>1.8217140871634743</v>
      </c>
      <c r="S225" s="59">
        <f>S127/S128</f>
        <v>1.718943104869046</v>
      </c>
      <c r="T225" s="59">
        <f>T127/T128</f>
        <v>1.382043115584636</v>
      </c>
      <c r="U225" s="59">
        <f>U127/U128</f>
        <v>1.2569093606613908</v>
      </c>
      <c r="V225" s="59">
        <f>V127/V128</f>
        <v>1.1059606351473388</v>
      </c>
      <c r="W225" s="59">
        <f>W127/W128</f>
        <v>1.012506822330129</v>
      </c>
      <c r="X225" s="60"/>
    </row>
    <row r="226" spans="1:24" ht="17">
      <c r="A226" s="78">
        <v>22</v>
      </c>
      <c r="B226" s="94" t="str">
        <f>B188</f>
        <v>EXPRESS, INC.</v>
      </c>
      <c r="C226" s="94" t="s">
        <v>224</v>
      </c>
      <c r="D226" s="59">
        <f>D189/D190</f>
        <v>1.8640076886112447</v>
      </c>
      <c r="E226" s="59">
        <f t="shared" ref="E226:W226" si="4">E189/E190</f>
        <v>0.97034620727079812</v>
      </c>
      <c r="F226" s="59">
        <f t="shared" si="4"/>
        <v>0.99043390996645797</v>
      </c>
      <c r="G226" s="59">
        <f t="shared" si="4"/>
        <v>0.99347259401674914</v>
      </c>
      <c r="H226" s="59">
        <f t="shared" si="4"/>
        <v>1.0068752339697311</v>
      </c>
      <c r="I226" s="59">
        <f t="shared" si="4"/>
        <v>1.1740475484171717</v>
      </c>
      <c r="J226" s="59">
        <f t="shared" si="4"/>
        <v>1.0715743788037735</v>
      </c>
      <c r="K226" s="59">
        <f t="shared" si="4"/>
        <v>0.96409053708680947</v>
      </c>
      <c r="L226" s="59">
        <f t="shared" si="4"/>
        <v>9.2128382904283643E-2</v>
      </c>
      <c r="M226" s="59">
        <f t="shared" si="4"/>
        <v>8.7312333240412571E-2</v>
      </c>
      <c r="N226" s="59">
        <f t="shared" si="4"/>
        <v>0.73860924643639347</v>
      </c>
      <c r="O226" s="59">
        <f t="shared" si="4"/>
        <v>0.81946805119242339</v>
      </c>
      <c r="P226" s="59">
        <f t="shared" si="4"/>
        <v>0.83650300944510636</v>
      </c>
      <c r="Q226" s="59">
        <f t="shared" si="4"/>
        <v>0.85418530886715072</v>
      </c>
      <c r="R226" s="59">
        <f t="shared" si="4"/>
        <v>0.85584290899761684</v>
      </c>
      <c r="S226" s="59">
        <f t="shared" si="4"/>
        <v>0.86380619689356664</v>
      </c>
      <c r="T226" s="59">
        <f t="shared" si="4"/>
        <v>0.98672437286971426</v>
      </c>
      <c r="U226" s="59">
        <f t="shared" si="4"/>
        <v>0.93654782041155527</v>
      </c>
      <c r="V226" s="59">
        <f t="shared" si="4"/>
        <v>0.93381886845609219</v>
      </c>
      <c r="W226" s="59">
        <f t="shared" si="4"/>
        <v>0.97685574846509682</v>
      </c>
      <c r="X226" s="60"/>
    </row>
    <row r="227" spans="1:24" ht="17">
      <c r="A227" s="78">
        <v>23</v>
      </c>
      <c r="B227" s="94" t="str">
        <f>B138</f>
        <v>Bumi Resources Tbk</v>
      </c>
      <c r="C227" s="94" t="str">
        <f>C138</f>
        <v>BUMI</v>
      </c>
      <c r="D227" s="59">
        <f>D140/D141</f>
        <v>0.36267401497052992</v>
      </c>
      <c r="E227" s="59">
        <f>E140/E141</f>
        <v>0.40167879675887525</v>
      </c>
      <c r="F227" s="59">
        <f>F140/F141</f>
        <v>0.40719788813691249</v>
      </c>
      <c r="G227" s="59">
        <f>G140/G141</f>
        <v>0.38709313028963638</v>
      </c>
      <c r="H227" s="59">
        <f>H140/H141</f>
        <v>0.36022021311154673</v>
      </c>
      <c r="I227" s="59">
        <f>I140/I141</f>
        <v>0.2763404171916371</v>
      </c>
      <c r="J227" s="59">
        <f>J140/J141</f>
        <v>0.25586834439104567</v>
      </c>
      <c r="K227" s="59">
        <f>K140/K141</f>
        <v>0.30598870146794188</v>
      </c>
      <c r="L227" s="59">
        <f>L140/L141</f>
        <v>0.31139810791572947</v>
      </c>
      <c r="M227" s="59">
        <f>M140/M141</f>
        <v>0.36661918814695932</v>
      </c>
      <c r="N227" s="59">
        <f>N140/N141</f>
        <v>0.41824470334490693</v>
      </c>
      <c r="O227" s="59">
        <f>O140/O141</f>
        <v>0.26956254597518337</v>
      </c>
      <c r="P227" s="59">
        <f>P140/P141</f>
        <v>0.29967056910998963</v>
      </c>
      <c r="Q227" s="59">
        <f>Q140/Q141</f>
        <v>0.33994422830891913</v>
      </c>
      <c r="R227" s="59">
        <f>R140/R141</f>
        <v>0.36789804096680134</v>
      </c>
      <c r="S227" s="59">
        <f>S140/S141</f>
        <v>0.83741216083133052</v>
      </c>
      <c r="T227" s="59">
        <f>T140/T141</f>
        <v>0.83386214795031832</v>
      </c>
      <c r="U227" s="59">
        <f>U140/U141</f>
        <v>0.86491480545174682</v>
      </c>
      <c r="V227" s="59">
        <f>V140/V141</f>
        <v>0.81618789298107319</v>
      </c>
      <c r="W227" s="59">
        <f>W140/W141</f>
        <v>0.83086901619843623</v>
      </c>
      <c r="X227" s="60"/>
    </row>
    <row r="228" spans="1:24" ht="17">
      <c r="A228" s="78">
        <v>24</v>
      </c>
      <c r="B228" s="94" t="str">
        <f>B145</f>
        <v>Modernland Realty Ltd Tbk</v>
      </c>
      <c r="C228" s="94" t="str">
        <f>C145</f>
        <v>MDLN</v>
      </c>
      <c r="D228" s="59">
        <f>D147/D148</f>
        <v>2.2648369999815943</v>
      </c>
      <c r="E228" s="59">
        <f>E147/E148</f>
        <v>2.148388244673749</v>
      </c>
      <c r="F228" s="59">
        <f>F147/F148</f>
        <v>1.8530963607755837</v>
      </c>
      <c r="G228" s="59">
        <f>G147/G148</f>
        <v>1.9265352749776472</v>
      </c>
      <c r="H228" s="59">
        <f>H147/H148</f>
        <v>1.6252013224890969</v>
      </c>
      <c r="I228" s="59">
        <f>I147/I148</f>
        <v>1.5579358342461163</v>
      </c>
      <c r="J228" s="59">
        <f>J147/J148</f>
        <v>1.4127659571360838</v>
      </c>
      <c r="K228" s="59">
        <f>K147/K148</f>
        <v>0.25692957536979799</v>
      </c>
      <c r="L228" s="59">
        <f>L147/L148</f>
        <v>0.24815629411916282</v>
      </c>
      <c r="M228" s="59">
        <f>M147/M148</f>
        <v>0.24418026946264834</v>
      </c>
      <c r="N228" s="59">
        <f>N147/N148</f>
        <v>0.24433392211649615</v>
      </c>
      <c r="O228" s="59">
        <f>O147/O148</f>
        <v>0.97873720222011784</v>
      </c>
      <c r="P228" s="59">
        <f>P147/P148</f>
        <v>1.0333414842927171</v>
      </c>
      <c r="Q228" s="59">
        <f>Q147/Q148</f>
        <v>0.77860965885094013</v>
      </c>
      <c r="R228" s="59">
        <f>R147/R148</f>
        <v>0.76328815488094359</v>
      </c>
      <c r="S228" s="59">
        <f>S147/S148</f>
        <v>0.80382881979097787</v>
      </c>
      <c r="T228" s="59">
        <f>T147/T148</f>
        <v>0.79255942707655347</v>
      </c>
      <c r="U228" s="59">
        <f>U147/U148</f>
        <v>0.7897237098059332</v>
      </c>
      <c r="V228" s="59">
        <f>V147/V148</f>
        <v>0.82052903461654614</v>
      </c>
      <c r="W228" s="59">
        <f>W147/W148</f>
        <v>0.88035738638174399</v>
      </c>
      <c r="X228" s="60"/>
    </row>
    <row r="229" spans="1:24" ht="17">
      <c r="A229" s="78">
        <v>25</v>
      </c>
      <c r="B229" s="94" t="str">
        <f>B152</f>
        <v>FKS Food Sejahtera Tbk PT</v>
      </c>
      <c r="C229" s="94" t="str">
        <f>C152</f>
        <v>AISA</v>
      </c>
      <c r="D229" s="59">
        <f>D153/D154</f>
        <v>0.36569564727288734</v>
      </c>
      <c r="E229" s="59">
        <f>E153/E154</f>
        <v>0.36569564727288734</v>
      </c>
      <c r="F229" s="59">
        <f>F153/F154</f>
        <v>0.36100614430470218</v>
      </c>
      <c r="G229" s="59">
        <f>G153/G154</f>
        <v>0.41135531167302586</v>
      </c>
      <c r="H229" s="59">
        <f>H153/H154</f>
        <v>0.69053632954340438</v>
      </c>
      <c r="I229" s="59">
        <f>I153/I154</f>
        <v>0.77699912219767753</v>
      </c>
      <c r="J229" s="59">
        <f>J153/J154</f>
        <v>0.78959568695105065</v>
      </c>
      <c r="K229" s="59">
        <f>K153/K154</f>
        <v>0.81285967953671112</v>
      </c>
      <c r="L229" s="59">
        <f>L153/L154</f>
        <v>0.7994051379895063</v>
      </c>
      <c r="M229" s="59">
        <f>M153/M154</f>
        <v>0.76302167391501974</v>
      </c>
      <c r="N229" s="59">
        <f>N153/N154</f>
        <v>0.74270812799995978</v>
      </c>
      <c r="O229" s="59">
        <f>O153/O154</f>
        <v>0.60109441404405428</v>
      </c>
      <c r="P229" s="59">
        <f>P153/P154</f>
        <v>0.62639633914812387</v>
      </c>
      <c r="Q229" s="59">
        <f>Q153/Q154</f>
        <v>0.63974569201831477</v>
      </c>
      <c r="R229" s="59">
        <f>R153/R154</f>
        <v>0.61917000586058335</v>
      </c>
      <c r="S229" s="59">
        <f>S153/S154</f>
        <v>0.67514829564190182</v>
      </c>
      <c r="T229" s="59">
        <f>T153/T154</f>
        <v>0.66910483577255997</v>
      </c>
      <c r="U229" s="59">
        <f>U153/U154</f>
        <v>0.65234989761760742</v>
      </c>
      <c r="V229" s="59">
        <f>V153/V154</f>
        <v>0.68834413052043608</v>
      </c>
      <c r="W229" s="59">
        <f>W153/W154</f>
        <v>0.75263484097001543</v>
      </c>
      <c r="X229" s="60"/>
    </row>
    <row r="230" spans="1:24" ht="17">
      <c r="A230" s="78">
        <v>26</v>
      </c>
      <c r="B230" s="94" t="str">
        <f>B158</f>
        <v>Indosat Tbk</v>
      </c>
      <c r="C230" s="94" t="str">
        <f>C158</f>
        <v>ISAT</v>
      </c>
      <c r="D230" s="59">
        <f>D159/D160</f>
        <v>0.40982540033609954</v>
      </c>
      <c r="E230" s="59">
        <f>E159/E160</f>
        <v>0.37826785737207713</v>
      </c>
      <c r="F230" s="59">
        <f>F159/F160</f>
        <v>0.50151623074757401</v>
      </c>
      <c r="G230" s="59">
        <f>G159/G160</f>
        <v>0.56236375615469714</v>
      </c>
      <c r="H230" s="59">
        <f>H159/H160</f>
        <v>0.58135110625972497</v>
      </c>
      <c r="I230" s="59">
        <f>I159/I160</f>
        <v>0.53899838622873697</v>
      </c>
      <c r="J230" s="59">
        <f>J159/J160</f>
        <v>0.48951806473696463</v>
      </c>
      <c r="K230" s="59">
        <f>K159/K160</f>
        <v>0.42346681940678682</v>
      </c>
      <c r="L230" s="59">
        <f>L159/L160</f>
        <v>0.46260512718628805</v>
      </c>
      <c r="M230" s="59">
        <f>M159/M160</f>
        <v>0.71563737280237905</v>
      </c>
      <c r="N230" s="59">
        <f>N159/N160</f>
        <v>0.65574474991627041</v>
      </c>
      <c r="O230" s="59">
        <f>O159/O160</f>
        <v>0.40126240519625966</v>
      </c>
      <c r="P230" s="59">
        <f>P159/P160</f>
        <v>0.3885411440622249</v>
      </c>
      <c r="Q230" s="59">
        <f>Q159/Q160</f>
        <v>0.46658861487127107</v>
      </c>
      <c r="R230" s="59">
        <f>R159/R160</f>
        <v>0.34736534454878237</v>
      </c>
      <c r="S230" s="59">
        <f>S159/S160</f>
        <v>0.52079713611562495</v>
      </c>
      <c r="T230" s="59">
        <f>T159/T160</f>
        <v>0.55302218629522559</v>
      </c>
      <c r="U230" s="59">
        <f>U159/U160</f>
        <v>0.44759458371112848</v>
      </c>
      <c r="V230" s="59">
        <f>V159/V160</f>
        <v>0.44217373511990365</v>
      </c>
      <c r="W230" s="59">
        <f>W159/W160</f>
        <v>0.45349222043031562</v>
      </c>
      <c r="X230" s="60"/>
    </row>
    <row r="231" spans="1:24" ht="17">
      <c r="A231" s="78">
        <v>27</v>
      </c>
      <c r="B231" s="94" t="str">
        <f>B164</f>
        <v>Krakatau Steel Persero Tbk</v>
      </c>
      <c r="C231" s="94" t="str">
        <f>C164</f>
        <v>KRAS</v>
      </c>
      <c r="D231" s="59">
        <f>D165/D166</f>
        <v>0.61908768198664521</v>
      </c>
      <c r="E231" s="59">
        <f t="shared" ref="E231:W231" si="5">E165/E166</f>
        <v>0.53838835764640192</v>
      </c>
      <c r="F231" s="59">
        <f t="shared" si="5"/>
        <v>0.51024284683818222</v>
      </c>
      <c r="G231" s="59">
        <f t="shared" si="5"/>
        <v>1.0768694646851504</v>
      </c>
      <c r="H231" s="59">
        <f t="shared" si="5"/>
        <v>0.27697119107863105</v>
      </c>
      <c r="I231" s="59">
        <f t="shared" si="5"/>
        <v>0.7361105600904555</v>
      </c>
      <c r="J231" s="59">
        <f t="shared" si="5"/>
        <v>0.76946332874174939</v>
      </c>
      <c r="K231" s="59">
        <f t="shared" si="5"/>
        <v>0.52039315476812353</v>
      </c>
      <c r="L231" s="59">
        <f t="shared" si="5"/>
        <v>1.0094816168295677</v>
      </c>
      <c r="M231" s="59">
        <f t="shared" si="5"/>
        <v>1.0530368287347309</v>
      </c>
      <c r="N231" s="59">
        <f t="shared" si="5"/>
        <v>0.60527121261788697</v>
      </c>
      <c r="O231" s="59">
        <f t="shared" si="5"/>
        <v>0.67114283943351649</v>
      </c>
      <c r="P231" s="59">
        <f t="shared" si="5"/>
        <v>0.65449000826619153</v>
      </c>
      <c r="Q231" s="59">
        <f t="shared" si="5"/>
        <v>0.6974214034956796</v>
      </c>
      <c r="R231" s="59">
        <f t="shared" si="5"/>
        <v>0.69762500120992332</v>
      </c>
      <c r="S231" s="59">
        <f t="shared" si="5"/>
        <v>0.66077439187007847</v>
      </c>
      <c r="T231" s="59">
        <f t="shared" si="5"/>
        <v>0.44695225728159388</v>
      </c>
      <c r="U231" s="59">
        <f t="shared" si="5"/>
        <v>0.40486821320847999</v>
      </c>
      <c r="V231" s="59">
        <f t="shared" si="5"/>
        <v>0.36122536153921708</v>
      </c>
      <c r="W231" s="59">
        <f t="shared" si="5"/>
        <v>0.34749868016543523</v>
      </c>
      <c r="X231" s="60"/>
    </row>
    <row r="232" spans="1:24" ht="17">
      <c r="A232" s="78">
        <v>28</v>
      </c>
      <c r="B232" s="94" t="str">
        <f>B170</f>
        <v>Bakrie Sumatera Plantations</v>
      </c>
      <c r="C232" s="94" t="str">
        <f>C170</f>
        <v>UNSP</v>
      </c>
      <c r="D232" s="59">
        <f>D171/D172</f>
        <v>0.11266764866508194</v>
      </c>
      <c r="E232" s="59">
        <f t="shared" ref="E232:W232" si="6">E171/E172</f>
        <v>0.10898651352932384</v>
      </c>
      <c r="F232" s="59">
        <f t="shared" si="6"/>
        <v>0.11727284343629762</v>
      </c>
      <c r="G232" s="59">
        <f t="shared" si="6"/>
        <v>0.10643338425372668</v>
      </c>
      <c r="H232" s="59">
        <f t="shared" si="6"/>
        <v>9.4237348321541112E-2</v>
      </c>
      <c r="I232" s="59">
        <f t="shared" si="6"/>
        <v>0.10249153351421576</v>
      </c>
      <c r="J232" s="59">
        <f t="shared" si="6"/>
        <v>0.10598605921457405</v>
      </c>
      <c r="K232" s="59">
        <f t="shared" si="6"/>
        <v>6.0137529093598936E-2</v>
      </c>
      <c r="L232" s="59">
        <f t="shared" si="6"/>
        <v>6.9751820944479279E-2</v>
      </c>
      <c r="M232" s="59">
        <f t="shared" si="6"/>
        <v>8.0640724405409647E-2</v>
      </c>
      <c r="N232" s="59">
        <f t="shared" si="6"/>
        <v>9.7125701788669777E-2</v>
      </c>
      <c r="O232" s="59">
        <f t="shared" si="6"/>
        <v>0.11342090324673983</v>
      </c>
      <c r="P232" s="59">
        <f t="shared" si="6"/>
        <v>0.12974075933335408</v>
      </c>
      <c r="Q232" s="59">
        <f t="shared" si="6"/>
        <v>0.13305753417666449</v>
      </c>
      <c r="R232" s="59">
        <f t="shared" si="6"/>
        <v>0.13274568883565524</v>
      </c>
      <c r="S232" s="59">
        <f t="shared" si="6"/>
        <v>8.5174609110542046E-2</v>
      </c>
      <c r="T232" s="59">
        <f t="shared" si="6"/>
        <v>9.1899702266520764E-2</v>
      </c>
      <c r="U232" s="59">
        <f t="shared" si="6"/>
        <v>8.8516752352660405E-2</v>
      </c>
      <c r="V232" s="59">
        <f t="shared" si="6"/>
        <v>0.10064581586933127</v>
      </c>
      <c r="W232" s="59">
        <f t="shared" si="6"/>
        <v>0.10157754897193985</v>
      </c>
      <c r="X232" s="60"/>
    </row>
    <row r="233" spans="1:24" ht="17">
      <c r="A233" s="78">
        <v>29</v>
      </c>
      <c r="B233" s="94" t="str">
        <f>B176</f>
        <v>Multipolar Tbk</v>
      </c>
      <c r="C233" s="94" t="str">
        <f>C176</f>
        <v>MLPL</v>
      </c>
      <c r="D233" s="59">
        <f>D177/D178</f>
        <v>1.0449306395186064</v>
      </c>
      <c r="E233" s="59">
        <f t="shared" ref="E233:W233" si="7">E177/E178</f>
        <v>1.1174732320977634</v>
      </c>
      <c r="F233" s="59">
        <f t="shared" si="7"/>
        <v>1.1139478137209</v>
      </c>
      <c r="G233" s="59">
        <f t="shared" si="7"/>
        <v>1.0102406040596998</v>
      </c>
      <c r="H233" s="59">
        <f t="shared" si="7"/>
        <v>0.89120483898673808</v>
      </c>
      <c r="I233" s="59">
        <f t="shared" si="7"/>
        <v>0.83252051684169548</v>
      </c>
      <c r="J233" s="59">
        <f t="shared" si="7"/>
        <v>0.85272663331613985</v>
      </c>
      <c r="K233" s="59">
        <f t="shared" si="7"/>
        <v>0.82683588836663857</v>
      </c>
      <c r="L233" s="59">
        <f t="shared" si="7"/>
        <v>0.81422020745012913</v>
      </c>
      <c r="M233" s="59">
        <f t="shared" si="7"/>
        <v>0.88072366311394368</v>
      </c>
      <c r="N233" s="59">
        <f t="shared" si="7"/>
        <v>0.89567391505484328</v>
      </c>
      <c r="O233" s="59">
        <f t="shared" si="7"/>
        <v>1.1329462939830421</v>
      </c>
      <c r="P233" s="59">
        <f t="shared" si="7"/>
        <v>1.1623252165379143</v>
      </c>
      <c r="Q233" s="59">
        <f t="shared" si="7"/>
        <v>1.2292304073117637</v>
      </c>
      <c r="R233" s="59">
        <f t="shared" si="7"/>
        <v>1.0385382433016332</v>
      </c>
      <c r="S233" s="59">
        <f t="shared" si="7"/>
        <v>1.0019588598936808</v>
      </c>
      <c r="T233" s="59">
        <f t="shared" si="7"/>
        <v>1.0473826643897273</v>
      </c>
      <c r="U233" s="59">
        <f t="shared" si="7"/>
        <v>1.0322661545566609</v>
      </c>
      <c r="V233" s="59">
        <f t="shared" si="7"/>
        <v>0.94471646126476305</v>
      </c>
      <c r="W233" s="59">
        <f t="shared" si="7"/>
        <v>1.0000498007558192</v>
      </c>
      <c r="X233" s="60"/>
    </row>
    <row r="234" spans="1:24" ht="17">
      <c r="A234" s="78">
        <v>30</v>
      </c>
      <c r="B234" s="94" t="str">
        <f>B182</f>
        <v>Visi Media Asia Tbk</v>
      </c>
      <c r="C234" s="94" t="str">
        <f>C182</f>
        <v>VIVA</v>
      </c>
      <c r="D234" s="59">
        <f>D183/D184</f>
        <v>1.1423766241331679</v>
      </c>
      <c r="E234" s="59">
        <f t="shared" ref="E234:V234" si="8">E183/E184</f>
        <v>0.97939989771287062</v>
      </c>
      <c r="F234" s="59">
        <f t="shared" si="8"/>
        <v>0.87558420127427927</v>
      </c>
      <c r="G234" s="59">
        <f t="shared" si="8"/>
        <v>0.7898772392619382</v>
      </c>
      <c r="H234" s="59">
        <f t="shared" si="8"/>
        <v>0.62133370821940159</v>
      </c>
      <c r="I234" s="59">
        <f t="shared" si="8"/>
        <v>0.53995950763048628</v>
      </c>
      <c r="J234" s="59">
        <f t="shared" si="8"/>
        <v>0.55367231894180613</v>
      </c>
      <c r="K234" s="59">
        <f t="shared" si="8"/>
        <v>0.53724802262329019</v>
      </c>
      <c r="L234" s="59">
        <f t="shared" si="8"/>
        <v>0.48789122848347544</v>
      </c>
      <c r="M234" s="59">
        <f t="shared" si="8"/>
        <v>0.47789648081623581</v>
      </c>
      <c r="N234" s="59">
        <f t="shared" si="8"/>
        <v>0.48601697628713553</v>
      </c>
      <c r="O234" s="59">
        <f t="shared" si="8"/>
        <v>0.48441851378611911</v>
      </c>
      <c r="P234" s="59">
        <f t="shared" si="8"/>
        <v>0.44265890610327663</v>
      </c>
      <c r="Q234" s="59">
        <f t="shared" si="8"/>
        <v>0.42717883435319981</v>
      </c>
      <c r="R234" s="59">
        <f t="shared" si="8"/>
        <v>0.40369987622101672</v>
      </c>
      <c r="S234" s="59">
        <f t="shared" si="8"/>
        <v>0.37442389243727286</v>
      </c>
      <c r="T234" s="59">
        <f t="shared" si="8"/>
        <v>0.3482163960475998</v>
      </c>
      <c r="U234" s="59">
        <f t="shared" si="8"/>
        <v>0.35124159840284896</v>
      </c>
      <c r="V234" s="59">
        <f t="shared" si="8"/>
        <v>0.38675989309134395</v>
      </c>
      <c r="W234" s="59">
        <f>W183/W184</f>
        <v>0.36755898116209834</v>
      </c>
      <c r="X234" s="60"/>
    </row>
    <row r="235" spans="1:24">
      <c r="B235" s="50"/>
      <c r="C235" s="50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</row>
    <row r="236" spans="1:24">
      <c r="K236" s="62"/>
    </row>
    <row r="238" spans="1:24">
      <c r="A238" s="88" t="s">
        <v>0</v>
      </c>
      <c r="B238" s="89" t="s">
        <v>1</v>
      </c>
      <c r="C238" s="89" t="s">
        <v>2</v>
      </c>
      <c r="D238" s="89" t="s">
        <v>4</v>
      </c>
      <c r="E238" s="89"/>
      <c r="F238" s="89"/>
      <c r="G238" s="90"/>
      <c r="H238" s="89"/>
      <c r="I238" s="89"/>
      <c r="J238" s="89"/>
      <c r="K238" s="89"/>
      <c r="L238" s="89"/>
      <c r="M238" s="89"/>
      <c r="N238" s="89"/>
      <c r="O238" s="90"/>
      <c r="P238" s="89"/>
      <c r="Q238" s="89"/>
      <c r="R238" s="89"/>
      <c r="S238" s="90"/>
      <c r="T238" s="89"/>
      <c r="U238" s="89"/>
      <c r="V238" s="89"/>
      <c r="W238" s="90"/>
    </row>
    <row r="239" spans="1:24">
      <c r="D239" s="160">
        <v>2019</v>
      </c>
      <c r="E239" s="160"/>
      <c r="F239" s="160"/>
      <c r="G239" s="160"/>
      <c r="H239" s="160">
        <v>2020</v>
      </c>
      <c r="I239" s="160"/>
      <c r="J239" s="160"/>
      <c r="K239" s="160"/>
      <c r="L239" s="160">
        <v>2021</v>
      </c>
      <c r="M239" s="160"/>
      <c r="N239" s="160"/>
      <c r="O239" s="160"/>
      <c r="P239" s="160">
        <v>2022</v>
      </c>
      <c r="Q239" s="160"/>
      <c r="R239" s="160"/>
      <c r="S239" s="160"/>
      <c r="T239" s="160">
        <v>2023</v>
      </c>
      <c r="U239" s="160"/>
      <c r="V239" s="160"/>
      <c r="W239" s="160"/>
      <c r="X239" s="46"/>
    </row>
    <row r="240" spans="1:24">
      <c r="D240" s="45" t="s">
        <v>5</v>
      </c>
      <c r="E240" s="45" t="s">
        <v>6</v>
      </c>
      <c r="F240" s="45" t="s">
        <v>7</v>
      </c>
      <c r="G240" s="47" t="s">
        <v>8</v>
      </c>
      <c r="H240" s="45" t="s">
        <v>5</v>
      </c>
      <c r="I240" s="45" t="s">
        <v>6</v>
      </c>
      <c r="J240" s="45" t="s">
        <v>7</v>
      </c>
      <c r="K240" s="45" t="s">
        <v>8</v>
      </c>
      <c r="L240" s="45" t="s">
        <v>5</v>
      </c>
      <c r="M240" s="45" t="s">
        <v>6</v>
      </c>
      <c r="N240" s="45" t="s">
        <v>7</v>
      </c>
      <c r="O240" s="47" t="s">
        <v>8</v>
      </c>
      <c r="P240" s="45" t="s">
        <v>5</v>
      </c>
      <c r="Q240" s="45" t="s">
        <v>6</v>
      </c>
      <c r="R240" s="45" t="s">
        <v>7</v>
      </c>
      <c r="S240" s="47" t="s">
        <v>8</v>
      </c>
      <c r="T240" s="45" t="s">
        <v>5</v>
      </c>
      <c r="U240" s="45" t="s">
        <v>6</v>
      </c>
      <c r="V240" s="45" t="s">
        <v>7</v>
      </c>
      <c r="W240" s="47" t="s">
        <v>8</v>
      </c>
    </row>
    <row r="241" spans="1:24" ht="17">
      <c r="A241" s="76">
        <v>1</v>
      </c>
      <c r="B241" s="63" t="str">
        <f t="shared" ref="B241:C255" si="9">B205</f>
        <v>BARAMULTI SUKSESSARANA TBK</v>
      </c>
      <c r="C241" s="63" t="str">
        <f t="shared" si="9"/>
        <v>BRRS</v>
      </c>
      <c r="D241" s="64">
        <f>D7/D8</f>
        <v>8.1441755915655518E-3</v>
      </c>
      <c r="E241" s="64">
        <f>E7/E8</f>
        <v>3.6831760101811578E-2</v>
      </c>
      <c r="F241" s="64">
        <f>F7/F8</f>
        <v>4.4693017011045201E-2</v>
      </c>
      <c r="G241" s="64">
        <f>G7/G8</f>
        <v>3.1756613869913901E-2</v>
      </c>
      <c r="H241" s="64">
        <f>H7/H8</f>
        <v>3.9666468111515675E-2</v>
      </c>
      <c r="I241" s="64">
        <f>I7/I8</f>
        <v>2.9364273276035423E-2</v>
      </c>
      <c r="J241" s="64">
        <f>J7/J8</f>
        <v>2.7876475994754478E-2</v>
      </c>
      <c r="K241" s="64">
        <f>K7/K8</f>
        <v>2.2297231655013003E-2</v>
      </c>
      <c r="L241" s="64">
        <f>L7/L8</f>
        <v>3.4697108037421653E-2</v>
      </c>
      <c r="M241" s="64">
        <f>M7/M8</f>
        <v>0.10524078564971005</v>
      </c>
      <c r="N241" s="64">
        <f>N7/N8</f>
        <v>0.1895411993668398</v>
      </c>
      <c r="O241" s="64">
        <f>O7/O8</f>
        <v>0.23294418569351605</v>
      </c>
      <c r="P241" s="64">
        <f>P7/P8</f>
        <v>5.8906479375481463E-2</v>
      </c>
      <c r="Q241" s="64">
        <f>Q7/Q8</f>
        <v>0.24701663903348128</v>
      </c>
      <c r="R241" s="64">
        <f>R7/R8</f>
        <v>0.16548947952323004</v>
      </c>
      <c r="S241" s="64">
        <f>S7/S8</f>
        <v>0.10455750597764611</v>
      </c>
      <c r="T241" s="64">
        <f>T7/T8</f>
        <v>9.9377014389456467E-2</v>
      </c>
      <c r="U241" s="64">
        <f>U7/U8</f>
        <v>0.12366261905848924</v>
      </c>
      <c r="V241" s="64">
        <f>V7/V8</f>
        <v>4.2657486753923231E-2</v>
      </c>
      <c r="W241" s="64">
        <f>W7/W8</f>
        <v>8.9807465566066752E-2</v>
      </c>
      <c r="X241" s="61"/>
    </row>
    <row r="242" spans="1:24" ht="17">
      <c r="A242" s="76">
        <v>2</v>
      </c>
      <c r="B242" s="63" t="str">
        <f t="shared" si="9"/>
        <v>INDUSTRI JAMU &amp; FARMASI SIDO MUNCUL</v>
      </c>
      <c r="C242" s="63" t="str">
        <f t="shared" si="9"/>
        <v>SIDO</v>
      </c>
      <c r="D242" s="64">
        <f>D13/D14</f>
        <v>5.9886859859334632E-2</v>
      </c>
      <c r="E242" s="64">
        <f>E13/E14</f>
        <v>5.0520173002732247E-2</v>
      </c>
      <c r="F242" s="64">
        <f>F13/F14</f>
        <v>5.7890834458828686E-2</v>
      </c>
      <c r="G242" s="64">
        <f>G13/G14</f>
        <v>6.4949793982644277E-2</v>
      </c>
      <c r="H242" s="64">
        <f>H13/H14</f>
        <v>6.1973055449308263E-2</v>
      </c>
      <c r="I242" s="64">
        <f>I13/I14</f>
        <v>5.291801521367169E-2</v>
      </c>
      <c r="J242" s="64">
        <f>J13/J14</f>
        <v>6.1361553221918073E-2</v>
      </c>
      <c r="K242" s="64">
        <f>K13/K14</f>
        <v>7.6168276739205662E-2</v>
      </c>
      <c r="L242" s="64">
        <f>L13/L14</f>
        <v>6.7136195573162888E-2</v>
      </c>
      <c r="M242" s="64">
        <f>M13/M14</f>
        <v>6.4870822526541957E-2</v>
      </c>
      <c r="N242" s="64">
        <f>N13/N14</f>
        <v>9.9564950985427239E-2</v>
      </c>
      <c r="O242" s="64">
        <f>O13/O14</f>
        <v>9.7174469214567821E-2</v>
      </c>
      <c r="P242" s="64">
        <f>P13/P14</f>
        <v>6.8779543611306615E-2</v>
      </c>
      <c r="Q242" s="64">
        <f>Q13/Q14</f>
        <v>4.2081302776315069E-2</v>
      </c>
      <c r="R242" s="64">
        <f>R13/R14</f>
        <v>7.1109252911464527E-2</v>
      </c>
      <c r="S242" s="64">
        <f>S13/S14</f>
        <v>9.4149812737752983E-2</v>
      </c>
      <c r="T242" s="64">
        <f>T13/T14</f>
        <v>7.1158184592926818E-2</v>
      </c>
      <c r="U242" s="64">
        <f>U13/U14</f>
        <v>4.1448516701737957E-2</v>
      </c>
      <c r="V242" s="64">
        <f>V13/V14</f>
        <v>3.6899794722806502E-2</v>
      </c>
      <c r="W242" s="64">
        <f>W13/W14</f>
        <v>9.3575561864607609E-2</v>
      </c>
      <c r="X242" s="61"/>
    </row>
    <row r="243" spans="1:24" ht="17">
      <c r="A243" s="76">
        <v>3</v>
      </c>
      <c r="B243" s="63" t="str">
        <f t="shared" si="9"/>
        <v xml:space="preserve">Siantar Top Tbk </v>
      </c>
      <c r="C243" s="63" t="str">
        <f t="shared" si="9"/>
        <v>STTP</v>
      </c>
      <c r="D243" s="64">
        <f>D19/D20</f>
        <v>4.8011495077685228E-2</v>
      </c>
      <c r="E243" s="64">
        <f>E19/E20</f>
        <v>4.3914719929900883E-2</v>
      </c>
      <c r="F243" s="64">
        <f>F19/F20</f>
        <v>4.6431006036970271E-2</v>
      </c>
      <c r="G243" s="64">
        <f>G19/G20</f>
        <v>3.6586021380569211E-2</v>
      </c>
      <c r="H243" s="64">
        <f>H19/H20</f>
        <v>5.650956669790206E-2</v>
      </c>
      <c r="I243" s="64">
        <f>I19/I20</f>
        <v>3.3001744376450211E-2</v>
      </c>
      <c r="J243" s="64">
        <f>J19/J20</f>
        <v>6.0859971261683771E-2</v>
      </c>
      <c r="K243" s="64">
        <f>K19/K20</f>
        <v>4.3280350915349548E-2</v>
      </c>
      <c r="L243" s="64">
        <f>L19/L20</f>
        <v>4.1429142577438988E-2</v>
      </c>
      <c r="M243" s="64">
        <f>M19/M20</f>
        <v>3.1548382186641431E-2</v>
      </c>
      <c r="N243" s="64">
        <f>N19/N20</f>
        <v>4.5729519350882201E-2</v>
      </c>
      <c r="O243" s="64">
        <f>O19/O20</f>
        <v>4.7013054969522863E-2</v>
      </c>
      <c r="P243" s="64">
        <f>P19/P20</f>
        <v>3.9656133412155188E-2</v>
      </c>
      <c r="Q243" s="64">
        <f>Q19/Q20</f>
        <v>2.2365698067219664E-2</v>
      </c>
      <c r="R243" s="64">
        <f>R19/R20</f>
        <v>3.7457337098460108E-2</v>
      </c>
      <c r="S243" s="64">
        <f>S19/S20</f>
        <v>4.4705561994563103E-2</v>
      </c>
      <c r="T243" s="64">
        <f>T19/T20</f>
        <v>4.9969452836585354E-2</v>
      </c>
      <c r="U243" s="64">
        <f>U19/U20</f>
        <v>3.2837087336169739E-2</v>
      </c>
      <c r="V243" s="64">
        <f>V19/V20</f>
        <v>5.3928210031429266E-2</v>
      </c>
      <c r="W243" s="64">
        <f>W19/W20</f>
        <v>4.2370885873055819E-2</v>
      </c>
      <c r="X243" s="61"/>
    </row>
    <row r="244" spans="1:24" ht="17">
      <c r="A244" s="76">
        <v>4</v>
      </c>
      <c r="B244" s="63" t="str">
        <f t="shared" si="9"/>
        <v>Akasha Wira International Tbk</v>
      </c>
      <c r="C244" s="63" t="str">
        <f t="shared" si="9"/>
        <v>ADES</v>
      </c>
      <c r="D244" s="64">
        <f>D25/D26</f>
        <v>2.0106874795726395E-2</v>
      </c>
      <c r="E244" s="64">
        <f>E25/E26</f>
        <v>1.5229715256490748E-2</v>
      </c>
      <c r="F244" s="64">
        <f>F25/F26</f>
        <v>1.9853473172214621E-2</v>
      </c>
      <c r="G244" s="64">
        <f>G25/G26</f>
        <v>4.4933272533819728E-2</v>
      </c>
      <c r="H244" s="64">
        <f>H25/H26</f>
        <v>2.5073997371083814E-2</v>
      </c>
      <c r="I244" s="64">
        <f>I25/I26</f>
        <v>2.2870260471608974E-2</v>
      </c>
      <c r="J244" s="64">
        <f>J25/J26</f>
        <v>3.8705561664175173E-2</v>
      </c>
      <c r="K244" s="64">
        <f>K25/K26</f>
        <v>6.4044197327676203E-2</v>
      </c>
      <c r="L244" s="64">
        <f>L25/L26</f>
        <v>4.6676702552661362E-2</v>
      </c>
      <c r="M244" s="64">
        <f>M25/M26</f>
        <v>3.9844155063457593E-2</v>
      </c>
      <c r="N244" s="64">
        <f>N25/N26</f>
        <v>4.6090424675547324E-2</v>
      </c>
      <c r="O244" s="64">
        <f>O25/O26</f>
        <v>9.4244495087830144E-2</v>
      </c>
      <c r="P244" s="64">
        <f>P25/P26</f>
        <v>5.4746653244641751E-2</v>
      </c>
      <c r="Q244" s="64">
        <f>Q25/Q26</f>
        <v>5.53274674328251E-2</v>
      </c>
      <c r="R244" s="64">
        <f>R25/R26</f>
        <v>5.4288456052078743E-2</v>
      </c>
      <c r="S244" s="64">
        <f>S25/S26</f>
        <v>7.5539839400285122E-2</v>
      </c>
      <c r="T244" s="64">
        <f>T25/T26</f>
        <v>5.0572290842837583E-2</v>
      </c>
      <c r="U244" s="64">
        <f>U25/U26</f>
        <v>5.1937885878700442E-2</v>
      </c>
      <c r="V244" s="64">
        <f>V25/V26</f>
        <v>5.4882164945372396E-2</v>
      </c>
      <c r="W244" s="64">
        <f>W25/W26</f>
        <v>4.9836896731316499E-2</v>
      </c>
      <c r="X244" s="61"/>
    </row>
    <row r="245" spans="1:24" ht="17">
      <c r="A245" s="76">
        <v>5</v>
      </c>
      <c r="B245" s="63" t="str">
        <f t="shared" si="9"/>
        <v>PT SELAMAT SEMPURNA Tbk</v>
      </c>
      <c r="C245" s="63" t="str">
        <f t="shared" si="9"/>
        <v>SMSM</v>
      </c>
      <c r="D245" s="64">
        <f>D31/D32</f>
        <v>4.6094747305199885E-2</v>
      </c>
      <c r="E245" s="64">
        <f>E31/E32</f>
        <v>4.0463700924588161E-2</v>
      </c>
      <c r="F245" s="64">
        <f>F31/F32</f>
        <v>6.4644617615625566E-2</v>
      </c>
      <c r="G245" s="64">
        <f>G31/G32</f>
        <v>6.0701690805318731E-2</v>
      </c>
      <c r="H245" s="64">
        <f>H31/H32</f>
        <v>3.7934779471914357E-2</v>
      </c>
      <c r="I245" s="64">
        <f>I31/I32</f>
        <v>2.731822628023646E-2</v>
      </c>
      <c r="J245" s="64">
        <f>J31/J32</f>
        <v>-5.7364692018938242E-2</v>
      </c>
      <c r="K245" s="64">
        <f>K31/K32</f>
        <v>0.14816890760136348</v>
      </c>
      <c r="L245" s="64">
        <f>L31/L32</f>
        <v>4.789313042467689E-3</v>
      </c>
      <c r="M245" s="64">
        <f>M31/M32</f>
        <v>8.3445598326888637E-2</v>
      </c>
      <c r="N245" s="64">
        <f>N31/N32</f>
        <v>4.9607563732002535E-2</v>
      </c>
      <c r="O245" s="64">
        <f>O31/O32</f>
        <v>4.8457401685560252E-2</v>
      </c>
      <c r="P245" s="64">
        <f>P31/P32</f>
        <v>5.1205725209739865E-2</v>
      </c>
      <c r="Q245" s="64">
        <f>Q31/Q32</f>
        <v>4.9856463436404493E-2</v>
      </c>
      <c r="R245" s="64">
        <f>R31/R32</f>
        <v>6.497718964264039E-2</v>
      </c>
      <c r="S245" s="64">
        <f>S31/S32</f>
        <v>5.2705318344671188E-2</v>
      </c>
      <c r="T245" s="64">
        <f>T31/T32</f>
        <v>5.356825458596004E-2</v>
      </c>
      <c r="U245" s="64">
        <f>U31/U32</f>
        <v>5.3263197862511796E-2</v>
      </c>
      <c r="V245" s="64">
        <f>V31/V32</f>
        <v>6.3771379823237287E-2</v>
      </c>
      <c r="W245" s="64">
        <f>W31/W32</f>
        <v>5.9225193358475453E-2</v>
      </c>
      <c r="X245" s="61"/>
    </row>
    <row r="246" spans="1:24" ht="17">
      <c r="A246" s="76">
        <v>6</v>
      </c>
      <c r="B246" s="63" t="str">
        <f t="shared" si="9"/>
        <v>Aneka Tambang Tbk.</v>
      </c>
      <c r="C246" s="63" t="str">
        <f t="shared" si="9"/>
        <v>ANTM</v>
      </c>
      <c r="D246" s="64">
        <f>D37/D38</f>
        <v>5.2413398520604471</v>
      </c>
      <c r="E246" s="64">
        <f>E37/E38</f>
        <v>30.517581342132466</v>
      </c>
      <c r="F246" s="64">
        <f>F37/F38</f>
        <v>6.5382588475755448</v>
      </c>
      <c r="G246" s="64">
        <f>G37/G38</f>
        <v>-14.825493186648993</v>
      </c>
      <c r="H246" s="64">
        <f>H37/H38</f>
        <v>-9.1592198569344703</v>
      </c>
      <c r="I246" s="64">
        <f>I37/I38</f>
        <v>12.20846280095979</v>
      </c>
      <c r="J246" s="64">
        <f>J37/J38</f>
        <v>24.244552413013029</v>
      </c>
      <c r="K246" s="64">
        <f>K37/K38</f>
        <v>9.8829543612268598</v>
      </c>
      <c r="L246" s="64">
        <f>L37/L38</f>
        <v>19.283052975354796</v>
      </c>
      <c r="M246" s="64">
        <f>M37/M38</f>
        <v>-19.486371089515693</v>
      </c>
      <c r="N246" s="64">
        <f>N37/N38</f>
        <v>1.6517241502533916E-2</v>
      </c>
      <c r="O246" s="64">
        <f>O37/O38</f>
        <v>4.5959196812604538E-3</v>
      </c>
      <c r="P246" s="64">
        <f>P37/P38</f>
        <v>4.5429079109571668E-2</v>
      </c>
      <c r="Q246" s="64">
        <f>Q37/Q38</f>
        <v>1.8759953815165673E-3</v>
      </c>
      <c r="R246" s="64">
        <f>R37/R38</f>
        <v>3.2580817322850772E-2</v>
      </c>
      <c r="S246" s="64">
        <f>S37/S38</f>
        <v>3.5500739640858502E-2</v>
      </c>
      <c r="T246" s="64">
        <f>T37/T38</f>
        <v>4.7607951764373185E-2</v>
      </c>
      <c r="U246" s="64">
        <f>U37/U38</f>
        <v>6.2316280723631714E-3</v>
      </c>
      <c r="V246" s="64">
        <f>V37/V38</f>
        <v>2.7009251702435559E-2</v>
      </c>
      <c r="W246" s="64">
        <f>W37/W38</f>
        <v>5.3454118074144213E-3</v>
      </c>
      <c r="X246" s="61"/>
    </row>
    <row r="247" spans="1:24" ht="17">
      <c r="A247" s="76">
        <v>7</v>
      </c>
      <c r="B247" s="63" t="str">
        <f t="shared" si="9"/>
        <v xml:space="preserve">Indo Tambangraya Megah Tbk </v>
      </c>
      <c r="C247" s="63" t="str">
        <f t="shared" si="9"/>
        <v>ITMG</v>
      </c>
      <c r="D247" s="64">
        <f>D43/D44</f>
        <v>0.30828303311988348</v>
      </c>
      <c r="E247" s="64">
        <f>E43/E44</f>
        <v>0.29919905274547298</v>
      </c>
      <c r="F247" s="64">
        <f>F43/F44</f>
        <v>0.31495432891284392</v>
      </c>
      <c r="G247" s="64">
        <f>G43/G44</f>
        <v>0.31398595358982923</v>
      </c>
      <c r="H247" s="64">
        <f>H43/H44</f>
        <v>0.29528166524904653</v>
      </c>
      <c r="I247" s="64">
        <f>I43/I44</f>
        <v>0.2333626605093162</v>
      </c>
      <c r="J247" s="64">
        <f>J43/J44</f>
        <v>0.18584214063944898</v>
      </c>
      <c r="K247" s="64">
        <f>K43/K44</f>
        <v>0.27053698811267457</v>
      </c>
      <c r="L247" s="64">
        <f>L43/L44</f>
        <v>2.3658060128960733E-2</v>
      </c>
      <c r="M247" s="64">
        <f>M43/M44</f>
        <v>0.49284443365934588</v>
      </c>
      <c r="N247" s="64">
        <f>N43/N44</f>
        <v>0.42864089246912929</v>
      </c>
      <c r="O247" s="64">
        <f>O43/O44</f>
        <v>0.45219683370752933</v>
      </c>
      <c r="P247" s="64">
        <f>P43/P44</f>
        <v>0.32422026994163422</v>
      </c>
      <c r="Q247" s="64">
        <f>Q43/Q44</f>
        <v>0.39599951361867702</v>
      </c>
      <c r="R247" s="64">
        <f>R43/R44</f>
        <v>0.47905967914266984</v>
      </c>
      <c r="S247" s="64">
        <f>S43/S44</f>
        <v>0.38625251261563143</v>
      </c>
      <c r="T247" s="64">
        <f>T43/T44</f>
        <v>0.24692045440630192</v>
      </c>
      <c r="U247" s="64">
        <f>U43/U44</f>
        <v>0.27552042617449213</v>
      </c>
      <c r="V247" s="64">
        <f>V43/V44</f>
        <v>0.24547180233924498</v>
      </c>
      <c r="W247" s="64">
        <f>W43/W44</f>
        <v>0.25031594988132166</v>
      </c>
      <c r="X247" s="61"/>
    </row>
    <row r="248" spans="1:24" ht="17">
      <c r="A248" s="76">
        <v>8</v>
      </c>
      <c r="B248" s="63" t="str">
        <f t="shared" si="9"/>
        <v xml:space="preserve">Tambang Batubara Bukit Asam Tbk </v>
      </c>
      <c r="C248" s="63" t="str">
        <f t="shared" si="9"/>
        <v>PTBA</v>
      </c>
      <c r="D248" s="64">
        <f>D49/D50</f>
        <v>4.6345099451674594E-2</v>
      </c>
      <c r="E248" s="64">
        <f>E49/E50</f>
        <v>3.4685193190430827E-2</v>
      </c>
      <c r="F248" s="64">
        <f>F49/F50</f>
        <v>4.3570720800934055E-2</v>
      </c>
      <c r="G248" s="64">
        <f>G49/G50</f>
        <v>3.5072081241925644E-2</v>
      </c>
      <c r="H248" s="64">
        <f>H49/H50</f>
        <v>3.2781226180968646E-2</v>
      </c>
      <c r="I248" s="64">
        <f>I49/I50</f>
        <v>1.4547200620187139E-2</v>
      </c>
      <c r="J248" s="64">
        <f>J49/J50</f>
        <v>1.800572877277001E-2</v>
      </c>
      <c r="K248" s="64">
        <f>K49/K50</f>
        <v>2.7705316032856468E-2</v>
      </c>
      <c r="L248" s="64">
        <f>L49/L50</f>
        <v>2.0814470819277932E-2</v>
      </c>
      <c r="M248" s="64">
        <f>M49/M50</f>
        <v>4.8005934663897187E-2</v>
      </c>
      <c r="N248" s="64">
        <f>N49/N50</f>
        <v>9.4579471245814839E-2</v>
      </c>
      <c r="O248" s="64">
        <f>O49/O50</f>
        <v>8.8127842264675904E-2</v>
      </c>
      <c r="P248" s="64">
        <f>P49/P50</f>
        <v>5.9006353039597677E-2</v>
      </c>
      <c r="Q248" s="64">
        <f>Q49/Q50</f>
        <v>0.11068984928133553</v>
      </c>
      <c r="R248" s="64">
        <f>R49/R50</f>
        <v>9.4664001413014676E-2</v>
      </c>
      <c r="S248" s="64">
        <f>S49/S50</f>
        <v>5.7360614792053136E-2</v>
      </c>
      <c r="T248" s="64">
        <f>T49/T50</f>
        <v>2.5575865258763635E-2</v>
      </c>
      <c r="U248" s="64">
        <f>U49/U50</f>
        <v>3.6707991673787015E-2</v>
      </c>
      <c r="V248" s="64">
        <f>V49/V50</f>
        <v>2.8367234038936619E-2</v>
      </c>
      <c r="W248" s="64">
        <f>W49/W50</f>
        <v>6.1548442340884753E-2</v>
      </c>
      <c r="X248" s="61"/>
    </row>
    <row r="249" spans="1:24" ht="17">
      <c r="A249" s="76">
        <v>9</v>
      </c>
      <c r="B249" s="63" t="str">
        <f t="shared" si="9"/>
        <v>Kalbe Farma Tbk</v>
      </c>
      <c r="C249" s="63" t="str">
        <f t="shared" si="9"/>
        <v>KLBF</v>
      </c>
      <c r="D249" s="64">
        <f>D55/D56</f>
        <v>3.1474565180941647E-2</v>
      </c>
      <c r="E249" s="64">
        <f>E55/E56</f>
        <v>3.5870252248081977E-2</v>
      </c>
      <c r="F249" s="64">
        <f>F55/F56</f>
        <v>3.4060899402189801E-2</v>
      </c>
      <c r="G249" s="64">
        <f>G55/G56</f>
        <v>2.920202639506694E-2</v>
      </c>
      <c r="H249" s="64">
        <f>H55/H56</f>
        <v>3.0590270043269863E-2</v>
      </c>
      <c r="I249" s="64">
        <f>I55/I56</f>
        <v>3.3097148740028941E-2</v>
      </c>
      <c r="J249" s="64">
        <f>J55/J56</f>
        <v>2.9578045602071206E-2</v>
      </c>
      <c r="K249" s="64">
        <f>K55/K56</f>
        <v>3.2236691111131852E-2</v>
      </c>
      <c r="L249" s="64">
        <f>L55/L56</f>
        <v>3.0249529146398765E-2</v>
      </c>
      <c r="M249" s="64">
        <f>M55/M56</f>
        <v>3.3657440413553556E-2</v>
      </c>
      <c r="N249" s="64">
        <f>N55/N56</f>
        <v>3.3484579189481618E-2</v>
      </c>
      <c r="O249" s="64">
        <f>O55/O56</f>
        <v>3.5364856783972595E-2</v>
      </c>
      <c r="P249" s="64">
        <f>P55/P56</f>
        <v>3.1742895805004938E-2</v>
      </c>
      <c r="Q249" s="64">
        <f>Q55/Q56</f>
        <v>3.2461567926455541E-2</v>
      </c>
      <c r="R249" s="64">
        <f>R55/R56</f>
        <v>3.2896400830547783E-2</v>
      </c>
      <c r="S249" s="64">
        <f>S55/S56</f>
        <v>3.3620555069457402E-2</v>
      </c>
      <c r="T249" s="64">
        <f>T55/T56</f>
        <v>3.0236644961775101E-2</v>
      </c>
      <c r="U249" s="64">
        <f>U55/U56</f>
        <v>2.4172305068425815E-2</v>
      </c>
      <c r="V249" s="64">
        <f>V55/V56</f>
        <v>2.0478030709257841E-2</v>
      </c>
      <c r="W249" s="64">
        <f>W55/W56</f>
        <v>2.6059565125023134E-2</v>
      </c>
      <c r="X249" s="61"/>
    </row>
    <row r="250" spans="1:24" ht="17">
      <c r="A250" s="76">
        <v>10</v>
      </c>
      <c r="B250" s="63" t="str">
        <f t="shared" si="9"/>
        <v>Pakuwon Jati Tbk</v>
      </c>
      <c r="C250" s="63" t="str">
        <f t="shared" si="9"/>
        <v>PWON</v>
      </c>
      <c r="D250" s="64">
        <f>D61/D62</f>
        <v>3.3742446104425512E-2</v>
      </c>
      <c r="E250" s="64">
        <f>E61/E62</f>
        <v>3.0198802140562725E-2</v>
      </c>
      <c r="F250" s="64">
        <f>F61/F62</f>
        <v>3.3556173829811402E-2</v>
      </c>
      <c r="G250" s="64">
        <f>G61/G62</f>
        <v>2.8553092223919489E-2</v>
      </c>
      <c r="H250" s="64">
        <f>H61/H62</f>
        <v>4.6720027795187852E-3</v>
      </c>
      <c r="I250" s="64">
        <f>I61/I62</f>
        <v>1.5059392563308641E-2</v>
      </c>
      <c r="J250" s="64">
        <f>J61/J62</f>
        <v>7.8949820734087045E-3</v>
      </c>
      <c r="K250" s="64">
        <f>K61/K62</f>
        <v>1.4768019320315363E-2</v>
      </c>
      <c r="L250" s="64">
        <f>L61/L62</f>
        <v>9.4951205544913063E-3</v>
      </c>
      <c r="M250" s="64">
        <f>M61/M62</f>
        <v>9.4018821659196915E-3</v>
      </c>
      <c r="N250" s="64">
        <f>N61/N62</f>
        <v>9.5500943446060645E-3</v>
      </c>
      <c r="O250" s="64">
        <f>O61/O62</f>
        <v>2.5997045343508222E-2</v>
      </c>
      <c r="P250" s="64">
        <f>P61/P62</f>
        <v>1.3759474472792597E-2</v>
      </c>
      <c r="Q250" s="64">
        <f>Q61/Q62</f>
        <v>1.5157667654714348E-2</v>
      </c>
      <c r="R250" s="64">
        <f>R61/R62</f>
        <v>1.7409973930711534E-2</v>
      </c>
      <c r="S250" s="64">
        <f>S61/S62</f>
        <v>1.4664031295540992E-2</v>
      </c>
      <c r="T250" s="64">
        <f>T61/T62</f>
        <v>2.1080014621194187E-2</v>
      </c>
      <c r="U250" s="64">
        <f>U61/U62</f>
        <v>1.8430190856001595E-2</v>
      </c>
      <c r="V250" s="64">
        <f>V61/V62</f>
        <v>1.4587780663907727E-2</v>
      </c>
      <c r="W250" s="64">
        <f>W61/W62</f>
        <v>2.0598513889322649E-2</v>
      </c>
      <c r="X250" s="61"/>
    </row>
    <row r="251" spans="1:24" ht="17">
      <c r="A251" s="76">
        <v>11</v>
      </c>
      <c r="B251" s="63" t="str">
        <f t="shared" si="9"/>
        <v>Surya Citra Media Tbk</v>
      </c>
      <c r="C251" s="63" t="str">
        <f t="shared" si="9"/>
        <v>SCMA</v>
      </c>
      <c r="D251" s="64">
        <f>D67/D68</f>
        <v>6.0029219804047886E-2</v>
      </c>
      <c r="E251" s="64">
        <f>E67/E68</f>
        <v>5.2934878842015143E-2</v>
      </c>
      <c r="F251" s="64">
        <f>F67/F68</f>
        <v>3.2632380195628058E-2</v>
      </c>
      <c r="G251" s="64">
        <f>G67/G68</f>
        <v>8.8698267715783246E-3</v>
      </c>
      <c r="H251" s="64">
        <f>H67/H68</f>
        <v>4.5633755025181078E-2</v>
      </c>
      <c r="I251" s="64">
        <f>I67/I68</f>
        <v>4.0476216242430439E-2</v>
      </c>
      <c r="J251" s="64">
        <f>J67/J68</f>
        <v>4.474550242265312E-2</v>
      </c>
      <c r="K251" s="64">
        <f>K67/K68</f>
        <v>3.5306965913115475E-2</v>
      </c>
      <c r="L251" s="64">
        <f>L67/L68</f>
        <v>5.088605576488936E-2</v>
      </c>
      <c r="M251" s="64">
        <f>M67/M68</f>
        <v>5.7533227644980714E-2</v>
      </c>
      <c r="N251" s="64">
        <f>N67/N68</f>
        <v>4.8563470051618485E-2</v>
      </c>
      <c r="O251" s="64">
        <f>O67/O68</f>
        <v>2.5303198128590863E-2</v>
      </c>
      <c r="P251" s="64">
        <f>P67/P68</f>
        <v>2.5795786246730925E-2</v>
      </c>
      <c r="Q251" s="64">
        <f>Q67/Q68</f>
        <v>2.6766519457828972E-2</v>
      </c>
      <c r="R251" s="64">
        <f>R67/R68</f>
        <v>1.5492175294135534E-2</v>
      </c>
      <c r="S251" s="64">
        <f>S67/S68</f>
        <v>-5.6415613698392944E-3</v>
      </c>
      <c r="T251" s="64">
        <f>T67/T68</f>
        <v>9.0872327005410154E-4</v>
      </c>
      <c r="U251" s="64">
        <f>U67/U68</f>
        <v>-4.2777718989157583E-3</v>
      </c>
      <c r="V251" s="64">
        <f>V67/V68</f>
        <v>1.3155604034099639E-2</v>
      </c>
      <c r="W251" s="64">
        <f>W67/W68</f>
        <v>4.8033183754184437E-3</v>
      </c>
      <c r="X251" s="61"/>
    </row>
    <row r="252" spans="1:24" ht="17">
      <c r="A252" s="76">
        <v>12</v>
      </c>
      <c r="B252" s="63" t="str">
        <f t="shared" si="9"/>
        <v>United Tractors Tbk</v>
      </c>
      <c r="C252" s="63" t="str">
        <f t="shared" si="9"/>
        <v>UNTR</v>
      </c>
      <c r="D252" s="64">
        <f>D73/D74</f>
        <v>2.6884134490555E-2</v>
      </c>
      <c r="E252" s="64">
        <f>E73/E74</f>
        <v>2.1502426560189102E-2</v>
      </c>
      <c r="F252" s="64">
        <f>F73/F74</f>
        <v>2.3919241325730888E-2</v>
      </c>
      <c r="G252" s="64">
        <f>G73/G74</f>
        <v>2.3011443347763866E-2</v>
      </c>
      <c r="H252" s="64">
        <f>H73/H74</f>
        <v>1.567536383656952E-2</v>
      </c>
      <c r="I252" s="64">
        <f>I73/I74</f>
        <v>2.2006314140326253E-2</v>
      </c>
      <c r="J252" s="64">
        <f>J73/J74</f>
        <v>1.0450875235822809E-2</v>
      </c>
      <c r="K252" s="64">
        <f>K73/K74</f>
        <v>4.4548868731857831E-3</v>
      </c>
      <c r="L252" s="64">
        <f>L73/L74</f>
        <v>1.8416419503615316E-2</v>
      </c>
      <c r="M252" s="64">
        <f>M73/M74</f>
        <v>2.5730009752475774E-2</v>
      </c>
      <c r="N252" s="64">
        <f>N73/N74</f>
        <v>3.0508833883571802E-2</v>
      </c>
      <c r="O252" s="64">
        <f>O73/O74</f>
        <v>2.2586303953196867E-2</v>
      </c>
      <c r="P252" s="64">
        <f>P73/P74</f>
        <v>3.9284297487161425E-2</v>
      </c>
      <c r="Q252" s="64">
        <f>Q73/Q74</f>
        <v>5.2262481581193419E-2</v>
      </c>
      <c r="R252" s="64">
        <f>R73/R74</f>
        <v>4.2514183264475959E-2</v>
      </c>
      <c r="S252" s="64">
        <f>S73/S74</f>
        <v>3.9595639808078432E-2</v>
      </c>
      <c r="T252" s="64">
        <f>T73/T74</f>
        <v>3.8905040281645646E-2</v>
      </c>
      <c r="U252" s="64">
        <f>U73/U74</f>
        <v>4.8194417524635338E-2</v>
      </c>
      <c r="V252" s="64">
        <f>V73/V74</f>
        <v>2.6760293722876007E-2</v>
      </c>
      <c r="W252" s="64">
        <f>W73/W74</f>
        <v>3.6932017820523418E-2</v>
      </c>
      <c r="X252" s="61"/>
    </row>
    <row r="253" spans="1:24" ht="17">
      <c r="A253" s="76">
        <v>13</v>
      </c>
      <c r="B253" s="63" t="str">
        <f t="shared" si="9"/>
        <v>Vale Indonesia Tbk</v>
      </c>
      <c r="C253" s="63" t="str">
        <f t="shared" si="9"/>
        <v>INCO</v>
      </c>
      <c r="D253" s="64">
        <f>D79/D80</f>
        <v>-9.424331434319486E-3</v>
      </c>
      <c r="E253" s="64">
        <f>E79/E80</f>
        <v>-2.4961770474956225E-3</v>
      </c>
      <c r="F253" s="64">
        <f>F79/F80</f>
        <v>1.2129164126721988E-2</v>
      </c>
      <c r="G253" s="64">
        <f>G79/G80</f>
        <v>2.5752602254567443E-2</v>
      </c>
      <c r="H253" s="64">
        <f>H79/H80</f>
        <v>1.3176839123977052E-2</v>
      </c>
      <c r="I253" s="64">
        <f>I79/I80</f>
        <v>1.0802980261955175E-2</v>
      </c>
      <c r="J253" s="64">
        <f>J79/J80</f>
        <v>-1.9953703825623011E-2</v>
      </c>
      <c r="K253" s="64">
        <f>K79/K80</f>
        <v>3.2469159590747317E-2</v>
      </c>
      <c r="L253" s="64">
        <f>L79/L80</f>
        <v>1.4480159937565216E-2</v>
      </c>
      <c r="M253" s="64">
        <f>M79/M80</f>
        <v>1.0738753667747446E-2</v>
      </c>
      <c r="N253" s="64">
        <f>N79/N80</f>
        <v>2.669731295629741E-2</v>
      </c>
      <c r="O253" s="64">
        <f>O79/O80</f>
        <v>1.7332382195607621E-2</v>
      </c>
      <c r="P253" s="64">
        <f>P79/P80</f>
        <v>2.6592114821581879E-2</v>
      </c>
      <c r="Q253" s="64">
        <f>Q79/Q80</f>
        <v>3.1639357102874618E-2</v>
      </c>
      <c r="R253" s="64">
        <f>R79/R80</f>
        <v>6.7522300623743372E-3</v>
      </c>
      <c r="S253" s="64">
        <f>S79/S80</f>
        <v>1.2044621077484956E-2</v>
      </c>
      <c r="T253" s="64">
        <f>T79/T80</f>
        <v>3.5135341206893406E-2</v>
      </c>
      <c r="U253" s="64">
        <f>U79/U80</f>
        <v>2.5049645026490402E-2</v>
      </c>
      <c r="V253" s="64">
        <f>V79/V80</f>
        <v>1.8364186587401757E-2</v>
      </c>
      <c r="W253" s="64">
        <f>W79/W80</f>
        <v>1.8198229049292226E-2</v>
      </c>
      <c r="X253" s="61"/>
    </row>
    <row r="254" spans="1:24" ht="17">
      <c r="A254" s="76">
        <v>14</v>
      </c>
      <c r="B254" s="63" t="str">
        <f t="shared" si="9"/>
        <v xml:space="preserve">PT Chitose Internasional Tbk </v>
      </c>
      <c r="C254" s="63" t="str">
        <f t="shared" si="9"/>
        <v>CINT</v>
      </c>
      <c r="D254" s="64">
        <f>D85/D86</f>
        <v>-1.2793978338584337E-2</v>
      </c>
      <c r="E254" s="64">
        <f>E85/E86</f>
        <v>-5.4351884383317646E-3</v>
      </c>
      <c r="F254" s="64">
        <f>F85/F86</f>
        <v>1.8924791649294889E-2</v>
      </c>
      <c r="G254" s="64">
        <f>G85/G86</f>
        <v>1.2232405875204857E-2</v>
      </c>
      <c r="H254" s="64">
        <f>H85/H86</f>
        <v>1.0296532532272356E-3</v>
      </c>
      <c r="I254" s="64">
        <f>I85/I86</f>
        <v>9.5671118804134308E-4</v>
      </c>
      <c r="J254" s="64">
        <f>J85/J86</f>
        <v>-4.0690829585032741E-3</v>
      </c>
      <c r="K254" s="64">
        <f>K85/K86</f>
        <v>2.5503647538105204E-3</v>
      </c>
      <c r="L254" s="64">
        <f>L85/L86</f>
        <v>-5.2656231306213849E-3</v>
      </c>
      <c r="M254" s="64">
        <f>M85/M86</f>
        <v>5.8154806457792214E-3</v>
      </c>
      <c r="N254" s="64">
        <f>N85/N86</f>
        <v>-5.3044947134698144E-2</v>
      </c>
      <c r="O254" s="64">
        <f>O85/O86</f>
        <v>-0.14710292318787993</v>
      </c>
      <c r="P254" s="64">
        <f>P85/P86</f>
        <v>-2.1088808982850336E-3</v>
      </c>
      <c r="Q254" s="64">
        <f>Q85/Q86</f>
        <v>-7.0361032154383028E-3</v>
      </c>
      <c r="R254" s="64">
        <f>R85/R86</f>
        <v>1.2511098770614787E-2</v>
      </c>
      <c r="S254" s="64">
        <f>S85/S86</f>
        <v>-1.9281693309169293E-2</v>
      </c>
      <c r="T254" s="64">
        <f>T85/T86</f>
        <v>2.9134557330096379E-3</v>
      </c>
      <c r="U254" s="64">
        <f>U85/U86</f>
        <v>-6.2149665788366259E-3</v>
      </c>
      <c r="V254" s="64">
        <f>V85/V86</f>
        <v>2.1671833042626117E-3</v>
      </c>
      <c r="W254" s="64">
        <f>W85/W86</f>
        <v>1.460724045834361E-2</v>
      </c>
      <c r="X254" s="61"/>
    </row>
    <row r="255" spans="1:24" ht="17">
      <c r="A255" s="76">
        <v>15</v>
      </c>
      <c r="B255" s="63" t="str">
        <f t="shared" si="9"/>
        <v>Ekadharma International Tbk</v>
      </c>
      <c r="C255" s="63" t="str">
        <f t="shared" si="9"/>
        <v>EKAD</v>
      </c>
      <c r="D255" s="64">
        <f>D91/D92</f>
        <v>3.3743590182833294E-2</v>
      </c>
      <c r="E255" s="64">
        <f>E91/E92</f>
        <v>1.3233198159928419E-2</v>
      </c>
      <c r="F255" s="64">
        <f>F91/F92</f>
        <v>3.8661265185720758E-2</v>
      </c>
      <c r="G255" s="64">
        <f>G91/G92</f>
        <v>2.2170487805606319E-3</v>
      </c>
      <c r="H255" s="64">
        <f>H91/H92</f>
        <v>3.0459811363165532E-2</v>
      </c>
      <c r="I255" s="64">
        <f>I91/I92</f>
        <v>1.7199750661118968E-2</v>
      </c>
      <c r="J255" s="64">
        <f>J91/J92</f>
        <v>2.5517266030311552E-2</v>
      </c>
      <c r="K255" s="64">
        <f>K91/K92</f>
        <v>2.0341632927264881E-2</v>
      </c>
      <c r="L255" s="64">
        <f>L91/L92</f>
        <v>2.8369294137877147E-2</v>
      </c>
      <c r="M255" s="64">
        <f>M91/M92</f>
        <v>2.2010915239663822E-2</v>
      </c>
      <c r="N255" s="64">
        <f>N91/N92</f>
        <v>2.3830990252836633E-2</v>
      </c>
      <c r="O255" s="64">
        <f>O91/O92</f>
        <v>2.0426541815682507E-2</v>
      </c>
      <c r="P255" s="64">
        <f>P91/P92</f>
        <v>2.5001432323361866E-2</v>
      </c>
      <c r="Q255" s="64">
        <f>Q91/Q92</f>
        <v>1.5227063047342749E-2</v>
      </c>
      <c r="R255" s="64">
        <f>R91/R92</f>
        <v>1.7184801825088594E-2</v>
      </c>
      <c r="S255" s="64">
        <f>S91/S92</f>
        <v>8.6120516233797566E-3</v>
      </c>
      <c r="T255" s="64">
        <f>T91/T92</f>
        <v>1.8438618416015379E-2</v>
      </c>
      <c r="U255" s="64">
        <f>U91/U92</f>
        <v>1.0309849963144836E-2</v>
      </c>
      <c r="V255" s="64">
        <f>V91/V92</f>
        <v>1.7972947878823798E-2</v>
      </c>
      <c r="W255" s="64">
        <f>W91/W92</f>
        <v>1.345129895996593E-2</v>
      </c>
      <c r="X255" s="61"/>
    </row>
    <row r="256" spans="1:24" ht="17">
      <c r="A256" s="76">
        <v>16</v>
      </c>
      <c r="B256" s="63" t="str">
        <f>B94</f>
        <v xml:space="preserve">PT Borneo Olah Sarana Sukses Tbk </v>
      </c>
      <c r="C256" s="63" t="str">
        <f>C94</f>
        <v>BOSS</v>
      </c>
      <c r="D256" s="64">
        <f>D97/D98</f>
        <v>1.0384963087874044E-2</v>
      </c>
      <c r="E256" s="64">
        <f>E97/E98</f>
        <v>2.2808605121721625E-2</v>
      </c>
      <c r="F256" s="64">
        <f>F97/F98</f>
        <v>-1.1991015860864133E-3</v>
      </c>
      <c r="G256" s="64">
        <f>G97/G98</f>
        <v>-1.2037160423808738E-2</v>
      </c>
      <c r="H256" s="64">
        <f>H97/H98</f>
        <v>1.0902626218103205E-3</v>
      </c>
      <c r="I256" s="64">
        <f>I97/I98</f>
        <v>-2.7104919523766681E-2</v>
      </c>
      <c r="J256" s="64">
        <f>J97/J98</f>
        <v>4.8535357896361429E-3</v>
      </c>
      <c r="K256" s="64">
        <f>K97/K98</f>
        <v>-4.6191619793826903E-2</v>
      </c>
      <c r="L256" s="64">
        <f>L97/L98</f>
        <v>-7.8230795506332565E-2</v>
      </c>
      <c r="M256" s="64">
        <f>M97/M98</f>
        <v>-5.2639017886675417E-2</v>
      </c>
      <c r="N256" s="64">
        <f>N97/N98</f>
        <v>-3.7985550112695582E-2</v>
      </c>
      <c r="O256" s="64">
        <f>O97/O98</f>
        <v>-9.1611448417215663E-2</v>
      </c>
      <c r="P256" s="64">
        <f>P97/P98</f>
        <v>-0.10734072168498028</v>
      </c>
      <c r="Q256" s="64">
        <f>Q97/Q98</f>
        <v>6.0720423127548087E-3</v>
      </c>
      <c r="R256" s="64">
        <f>R97/R98</f>
        <v>2.445963831099171E-2</v>
      </c>
      <c r="S256" s="64">
        <f>S97/S98</f>
        <v>0.10184460152082699</v>
      </c>
      <c r="T256" s="64">
        <f>T97/T98</f>
        <v>-7.8341090462545657E-2</v>
      </c>
      <c r="U256" s="64">
        <f>U97/U98</f>
        <v>-5.3294288478163289E-2</v>
      </c>
      <c r="V256" s="64">
        <f>V97/V98</f>
        <v>-5.9676548773197516E-2</v>
      </c>
      <c r="W256" s="64">
        <f>W97/W98</f>
        <v>-8.4466014867088518E-2</v>
      </c>
      <c r="X256" s="61"/>
    </row>
    <row r="257" spans="1:24" ht="17">
      <c r="A257" s="76">
        <v>17</v>
      </c>
      <c r="B257" s="63" t="str">
        <f>B100</f>
        <v>PT ETERINDO WAHANATAMA</v>
      </c>
      <c r="C257" s="63" t="str">
        <f>C100</f>
        <v>ETWA</v>
      </c>
      <c r="D257" s="64">
        <f>D103/D104</f>
        <v>-3.8595010748970197E-2</v>
      </c>
      <c r="E257" s="64">
        <f>E103/E104</f>
        <v>-3.7857470519334198E-2</v>
      </c>
      <c r="F257" s="64">
        <f>F103/F104</f>
        <v>-2.0365936902503431E-2</v>
      </c>
      <c r="G257" s="64">
        <f>G103/G104</f>
        <v>-2.9353256797563149E-2</v>
      </c>
      <c r="H257" s="64">
        <f>H103/H104</f>
        <v>-2.2686055626482179E-2</v>
      </c>
      <c r="I257" s="64">
        <f>I103/I104</f>
        <v>-8.6826808900737108E-3</v>
      </c>
      <c r="J257" s="64">
        <f>J103/J104</f>
        <v>-9.2996672111518172E-2</v>
      </c>
      <c r="K257" s="64">
        <f>K103/K104</f>
        <v>4.1093639750974666E-2</v>
      </c>
      <c r="L257" s="64">
        <f>L103/L104</f>
        <v>-2.7352032281563739E-2</v>
      </c>
      <c r="M257" s="64">
        <f>M103/M104</f>
        <v>0.1511782856730329</v>
      </c>
      <c r="N257" s="64">
        <f>N103/N104</f>
        <v>-1.2546123810871423E-2</v>
      </c>
      <c r="O257" s="64">
        <f>O103/O104</f>
        <v>-1.4215925424575511E-2</v>
      </c>
      <c r="P257" s="64">
        <f>P103/P104</f>
        <v>-2.6421400605503246E-2</v>
      </c>
      <c r="Q257" s="64">
        <f>Q103/Q104</f>
        <v>-6.5900316938141218E-2</v>
      </c>
      <c r="R257" s="64">
        <f>R103/R104</f>
        <v>-2.6557997715626367E-2</v>
      </c>
      <c r="S257" s="64">
        <f>S103/S104</f>
        <v>-3.1483766950434297E-2</v>
      </c>
      <c r="T257" s="64">
        <f>T103/T104</f>
        <v>-0.19797896843632565</v>
      </c>
      <c r="U257" s="64">
        <f>U103/U104</f>
        <v>-4.9311545775966657E-2</v>
      </c>
      <c r="V257" s="64">
        <f>V103/V104</f>
        <v>-8.5171711274463161E-3</v>
      </c>
      <c r="W257" s="64">
        <f>W103/W104</f>
        <v>-7.8620448404797521E-3</v>
      </c>
      <c r="X257" s="61"/>
    </row>
    <row r="258" spans="1:24" ht="17">
      <c r="A258" s="76">
        <v>18</v>
      </c>
      <c r="B258" s="63" t="str">
        <f>B106</f>
        <v>PT Cowel Development Tbk</v>
      </c>
      <c r="C258" s="63" t="str">
        <f>C106</f>
        <v>COWL</v>
      </c>
      <c r="D258" s="64">
        <f>D109/D110</f>
        <v>-1.7666304994131528E-2</v>
      </c>
      <c r="E258" s="64">
        <f>E109/E110</f>
        <v>-1.5405768952330963E-2</v>
      </c>
      <c r="F258" s="64">
        <f>F109/F110</f>
        <v>-3.7116702077302013E-2</v>
      </c>
      <c r="G258" s="64">
        <f>G109/G110</f>
        <v>2.2878107622704397E-2</v>
      </c>
      <c r="H258" s="64">
        <f>H109/H110</f>
        <v>1.2066288538624761E-2</v>
      </c>
      <c r="I258" s="64">
        <f>I109/I110</f>
        <v>2.5638315999638671E-3</v>
      </c>
      <c r="J258" s="64">
        <f>J109/J110</f>
        <v>-3.9584095000967058E-3</v>
      </c>
      <c r="K258" s="64">
        <f>K109/K110</f>
        <v>-1.7326675967275225E-2</v>
      </c>
      <c r="L258" s="64">
        <f>L109/L110</f>
        <v>4.4907885450029517E-4</v>
      </c>
      <c r="M258" s="64">
        <f>M109/M110</f>
        <v>-2.2644085937346193E-5</v>
      </c>
      <c r="N258" s="64">
        <f>N109/N110</f>
        <v>-7.1420394476085433E-3</v>
      </c>
      <c r="O258" s="64">
        <f>O109/O110</f>
        <v>-1.2621920073451656E-2</v>
      </c>
      <c r="P258" s="64">
        <f>P109/P110</f>
        <v>-1.0247157749088492E-2</v>
      </c>
      <c r="Q258" s="64">
        <f>Q109/Q110</f>
        <v>-2.1231472006166111E-2</v>
      </c>
      <c r="R258" s="64">
        <f>R109/R110</f>
        <v>-2.6640670957264179E-2</v>
      </c>
      <c r="S258" s="64">
        <f>S109/S110</f>
        <v>-5.1656115027387166E-3</v>
      </c>
      <c r="T258" s="64">
        <f>T109/T110</f>
        <v>-1.3057059635270536E-3</v>
      </c>
      <c r="U258" s="64">
        <f>U109/U110</f>
        <v>-1.3206258187205288E-3</v>
      </c>
      <c r="V258" s="64">
        <f>V109/V110</f>
        <v>-4.4220984687232253E-3</v>
      </c>
      <c r="W258" s="64">
        <f>W109/W110</f>
        <v>-6.3473992980684416E-3</v>
      </c>
      <c r="X258" s="61"/>
    </row>
    <row r="259" spans="1:24" ht="17">
      <c r="A259" s="76">
        <v>19</v>
      </c>
      <c r="B259" s="63" t="str">
        <f>B194</f>
        <v>Ebit</v>
      </c>
      <c r="C259" s="63">
        <f>C194</f>
        <v>0</v>
      </c>
      <c r="D259" s="64">
        <f>D197/D198</f>
        <v>8.4625378736854787E-2</v>
      </c>
      <c r="E259" s="64">
        <f t="shared" ref="E259:W259" si="10">E197/E198</f>
        <v>9.0401469457150954E-2</v>
      </c>
      <c r="F259" s="64">
        <f t="shared" si="10"/>
        <v>8.8921253150225296E-2</v>
      </c>
      <c r="G259" s="64">
        <f t="shared" si="10"/>
        <v>9.1714584894530063E-2</v>
      </c>
      <c r="H259" s="64">
        <f t="shared" si="10"/>
        <v>9.1845473068617553E-2</v>
      </c>
      <c r="I259" s="64">
        <f t="shared" si="10"/>
        <v>9.1696650062183679E-2</v>
      </c>
      <c r="J259" s="64">
        <f t="shared" si="10"/>
        <v>7.3425964527142909E-2</v>
      </c>
      <c r="K259" s="64">
        <f t="shared" si="10"/>
        <v>9.9516300667505081E-2</v>
      </c>
      <c r="L259" s="64">
        <f t="shared" si="10"/>
        <v>0.14148840687631262</v>
      </c>
      <c r="M259" s="64">
        <f t="shared" si="10"/>
        <v>0.18518556352843005</v>
      </c>
      <c r="N259" s="64">
        <f t="shared" si="10"/>
        <v>0.15930550812818842</v>
      </c>
      <c r="O259" s="64">
        <f t="shared" si="10"/>
        <v>0.12371405416845181</v>
      </c>
      <c r="P259" s="64">
        <f t="shared" si="10"/>
        <v>0.16960252318609451</v>
      </c>
      <c r="Q259" s="64">
        <f t="shared" si="10"/>
        <v>0.18349327796648632</v>
      </c>
      <c r="R259" s="64">
        <f t="shared" si="10"/>
        <v>7.4266984782648038E-2</v>
      </c>
      <c r="S259" s="64">
        <f t="shared" si="10"/>
        <v>0.17137184388991439</v>
      </c>
      <c r="T259" s="64">
        <f t="shared" si="10"/>
        <v>0.25434212109485516</v>
      </c>
      <c r="U259" s="64">
        <f t="shared" si="10"/>
        <v>0.15747851188738607</v>
      </c>
      <c r="V259" s="64">
        <f t="shared" si="10"/>
        <v>7.6877237898147887E-3</v>
      </c>
      <c r="W259" s="64">
        <f t="shared" si="10"/>
        <v>7.6330785516689911E-2</v>
      </c>
      <c r="X259" s="61"/>
    </row>
    <row r="260" spans="1:24">
      <c r="A260" s="76">
        <v>20</v>
      </c>
      <c r="B260" s="65" t="str">
        <f>B118</f>
        <v>PT Grand Kartech Tbk</v>
      </c>
      <c r="C260" s="65" t="str">
        <f>C118</f>
        <v>KRAH</v>
      </c>
      <c r="D260" s="66">
        <f>D122/D123</f>
        <v>9.0664618503427091E-3</v>
      </c>
      <c r="E260" s="66">
        <f>E122/E123</f>
        <v>8.7856821987374635E-3</v>
      </c>
      <c r="F260" s="66">
        <f>F122/F123</f>
        <v>-3.0815851572399823E-3</v>
      </c>
      <c r="G260" s="66">
        <f>G122/G123</f>
        <v>2.1524879795380885E-3</v>
      </c>
      <c r="H260" s="66">
        <f>H122/H123</f>
        <v>-2.1613385071437608E-2</v>
      </c>
      <c r="I260" s="66">
        <f>I122/I123</f>
        <v>1.2693083758619616E-2</v>
      </c>
      <c r="J260" s="66">
        <f>J122/J123</f>
        <v>-4.1090024748654252E-3</v>
      </c>
      <c r="K260" s="66">
        <f>K122/K123</f>
        <v>9.1357546466399077E-3</v>
      </c>
      <c r="L260" s="66">
        <f>L122/L123</f>
        <v>-1.4505210138620581E-2</v>
      </c>
      <c r="M260" s="66">
        <f>M122/M123</f>
        <v>9.913540045142907E-3</v>
      </c>
      <c r="N260" s="66">
        <f>N122/N123</f>
        <v>-3.8729373346521917E-3</v>
      </c>
      <c r="O260" s="66">
        <f>O122/O123</f>
        <v>8.291125956410586E-3</v>
      </c>
      <c r="P260" s="66">
        <f>P122/P123</f>
        <v>-1.3444374724138787E-2</v>
      </c>
      <c r="Q260" s="66">
        <f>Q122/Q123</f>
        <v>9.3535634385113024E-3</v>
      </c>
      <c r="R260" s="66">
        <f>R122/R123</f>
        <v>-3.6214231905454613E-3</v>
      </c>
      <c r="S260" s="66">
        <f>S122/S123</f>
        <v>7.6839163941414632E-3</v>
      </c>
      <c r="T260" s="66">
        <f>T122/T123</f>
        <v>-1.4329438791585703E-2</v>
      </c>
      <c r="U260" s="66">
        <f>U122/U123</f>
        <v>-1.0369933462965046E-2</v>
      </c>
      <c r="V260" s="66">
        <f>V122/V123</f>
        <v>-1.1877667571908144E-2</v>
      </c>
      <c r="W260" s="66">
        <f>W122/W123</f>
        <v>-2.3719978890541893E-2</v>
      </c>
      <c r="X260" s="80"/>
    </row>
    <row r="261" spans="1:24">
      <c r="A261" s="76">
        <v>21</v>
      </c>
      <c r="B261" s="65" t="str">
        <f>B125</f>
        <v>Prima Alloy Steel Universal</v>
      </c>
      <c r="C261" s="65" t="str">
        <f>C125</f>
        <v>PRAS</v>
      </c>
      <c r="D261" s="66">
        <f>D129/D130</f>
        <v>4.4988941728871037E-3</v>
      </c>
      <c r="E261" s="66">
        <f>E129/E130</f>
        <v>3.5459626404410209E-5</v>
      </c>
      <c r="F261" s="66">
        <f>F129/F130</f>
        <v>2.8772399205851998E-3</v>
      </c>
      <c r="G261" s="66">
        <f>G129/G130</f>
        <v>-2.0537417699045494E-3</v>
      </c>
      <c r="H261" s="66">
        <f>H129/H130</f>
        <v>-2.7971285083972008E-2</v>
      </c>
      <c r="I261" s="66">
        <f>I129/I130</f>
        <v>-4.4136681634673698E-3</v>
      </c>
      <c r="J261" s="66">
        <f>J129/J130</f>
        <v>1.3009556650941152E-2</v>
      </c>
      <c r="K261" s="66">
        <f>K129/K130</f>
        <v>-1.215819655738855E-2</v>
      </c>
      <c r="L261" s="66">
        <f>L129/L130</f>
        <v>-7.1435866434171769E-2</v>
      </c>
      <c r="M261" s="66">
        <f>M129/M130</f>
        <v>-2.0064321723608291E-2</v>
      </c>
      <c r="N261" s="66">
        <f>N129/N130</f>
        <v>3.0196451546517927E-2</v>
      </c>
      <c r="O261" s="66">
        <f>O129/O130</f>
        <v>-9.5146378475305365E-3</v>
      </c>
      <c r="P261" s="66">
        <f>P129/P130</f>
        <v>-1.427808930924337E-2</v>
      </c>
      <c r="Q261" s="66">
        <f>Q129/Q130</f>
        <v>1.6402329898254698E-4</v>
      </c>
      <c r="R261" s="66">
        <f>R129/R130</f>
        <v>-1.7966741465603342E-2</v>
      </c>
      <c r="S261" s="66">
        <f>S129/S130</f>
        <v>-1.8495891311320022E-2</v>
      </c>
      <c r="T261" s="66">
        <f>T129/T130</f>
        <v>-1.8495891311320022E-2</v>
      </c>
      <c r="U261" s="66">
        <f>U129/U130</f>
        <v>-1.9210841447115212E-2</v>
      </c>
      <c r="V261" s="66">
        <f>V129/V130</f>
        <v>-1.1141086086950355E-2</v>
      </c>
      <c r="W261" s="66">
        <f>W129/W130</f>
        <v>-5.6646133127618521E-2</v>
      </c>
      <c r="X261" s="80"/>
    </row>
    <row r="262" spans="1:24">
      <c r="A262" s="76">
        <v>22</v>
      </c>
      <c r="B262" s="65" t="str">
        <f>B188</f>
        <v>EXPRESS, INC.</v>
      </c>
      <c r="C262" s="65" t="str">
        <f>C132</f>
        <v>BTEL</v>
      </c>
      <c r="D262" s="66">
        <f>D191/D192</f>
        <v>0.57832724568780269</v>
      </c>
      <c r="E262" s="66">
        <f t="shared" ref="E262:W262" si="11">E191/E192</f>
        <v>0.21219436616671847</v>
      </c>
      <c r="F262" s="66">
        <f t="shared" si="11"/>
        <v>0.23029980897463567</v>
      </c>
      <c r="G262" s="66">
        <f t="shared" si="11"/>
        <v>0.2350833576365528</v>
      </c>
      <c r="H262" s="66">
        <f t="shared" si="11"/>
        <v>0.33881263545385454</v>
      </c>
      <c r="I262" s="66">
        <f t="shared" si="11"/>
        <v>0.11687242661117485</v>
      </c>
      <c r="J262" s="66">
        <f t="shared" si="11"/>
        <v>0.14560660976008685</v>
      </c>
      <c r="K262" s="66">
        <f t="shared" si="11"/>
        <v>0.19261203621138098</v>
      </c>
      <c r="L262" s="66">
        <f t="shared" si="11"/>
        <v>0.2950618358991729</v>
      </c>
      <c r="M262" s="66">
        <f t="shared" si="11"/>
        <v>0.24578759812587836</v>
      </c>
      <c r="N262" s="66">
        <f t="shared" si="11"/>
        <v>0.36599033893696314</v>
      </c>
      <c r="O262" s="66">
        <f t="shared" si="11"/>
        <v>0.35644665772493295</v>
      </c>
      <c r="P262" s="66">
        <f t="shared" si="11"/>
        <v>0.47237056692820856</v>
      </c>
      <c r="Q262" s="66">
        <f t="shared" si="11"/>
        <v>0.36631794335047424</v>
      </c>
      <c r="R262" s="66">
        <f t="shared" si="11"/>
        <v>0.39977385195471882</v>
      </c>
      <c r="S262" s="66">
        <f t="shared" si="11"/>
        <v>0.35557355580107963</v>
      </c>
      <c r="T262" s="66">
        <f t="shared" si="11"/>
        <v>0.36782078558275078</v>
      </c>
      <c r="U262" s="66">
        <f t="shared" si="11"/>
        <v>0.28311791156244992</v>
      </c>
      <c r="V262" s="66">
        <f t="shared" si="11"/>
        <v>0.29981687744011326</v>
      </c>
      <c r="W262" s="66">
        <f t="shared" si="11"/>
        <v>0.30935821845290573</v>
      </c>
      <c r="X262" s="80"/>
    </row>
    <row r="263" spans="1:24">
      <c r="A263" s="76">
        <v>23</v>
      </c>
      <c r="B263" s="65" t="str">
        <f>B138</f>
        <v>Bumi Resources Tbk</v>
      </c>
      <c r="C263" s="65" t="str">
        <f>C138</f>
        <v>BUMI</v>
      </c>
      <c r="D263" s="66">
        <f>D142/D143</f>
        <v>1.1538440817911598E-2</v>
      </c>
      <c r="E263" s="66">
        <f>E142/E143</f>
        <v>1.1413583621989283E-2</v>
      </c>
      <c r="F263" s="66">
        <f>F142/F143</f>
        <v>-2.0717763205283627E-2</v>
      </c>
      <c r="G263" s="66">
        <f>G142/G143</f>
        <v>-9.4130324650260385E-3</v>
      </c>
      <c r="H263" s="66">
        <f>H142/H143</f>
        <v>-1.3966019809309055E-2</v>
      </c>
      <c r="I263" s="66">
        <f>I142/I143</f>
        <v>-1.4410465461594697E-2</v>
      </c>
      <c r="J263" s="66">
        <f>J142/J143</f>
        <v>-5.8743152816638201E-2</v>
      </c>
      <c r="K263" s="66">
        <f>K142/K143</f>
        <v>-2.9376803694172401E-3</v>
      </c>
      <c r="L263" s="66">
        <f>L142/L143</f>
        <v>4.8386302278869888E-3</v>
      </c>
      <c r="M263" s="66">
        <f>M142/M143</f>
        <v>1.8404793384241291E-2</v>
      </c>
      <c r="N263" s="66">
        <f>N142/N143</f>
        <v>4.1075720732991573E-2</v>
      </c>
      <c r="O263" s="66">
        <f>O142/O143</f>
        <v>1.1065078526778823E-2</v>
      </c>
      <c r="P263" s="66">
        <f>P142/P143</f>
        <v>3.1588004235174993E-2</v>
      </c>
      <c r="Q263" s="66">
        <f>Q142/Q143</f>
        <v>4.6009302156431002E-2</v>
      </c>
      <c r="R263" s="66">
        <f>R142/R143</f>
        <v>3.8065925368156103E-2</v>
      </c>
      <c r="S263" s="66">
        <f>S142/S143</f>
        <v>1.5032459876417024E-2</v>
      </c>
      <c r="T263" s="66">
        <f>T142/T143</f>
        <v>5.5272118779959769E-3</v>
      </c>
      <c r="U263" s="66">
        <f>U142/U143</f>
        <v>-1.1968659977020528E-2</v>
      </c>
      <c r="V263" s="66">
        <f>V142/V143</f>
        <v>-2.8804187872437147E-3</v>
      </c>
      <c r="W263" s="66">
        <f>W142/W143</f>
        <v>1.7303384272675811E-2</v>
      </c>
      <c r="X263" s="80"/>
    </row>
    <row r="264" spans="1:24">
      <c r="A264" s="76">
        <v>24</v>
      </c>
      <c r="B264" s="65" t="str">
        <f>B145</f>
        <v>Modernland Realty Ltd Tbk</v>
      </c>
      <c r="C264" s="65" t="str">
        <f>C145</f>
        <v>MDLN</v>
      </c>
      <c r="D264" s="66">
        <f>D149/D150</f>
        <v>2.0214474406299008E-2</v>
      </c>
      <c r="E264" s="66">
        <f>E149/E150</f>
        <v>-8.6087587267779844E-3</v>
      </c>
      <c r="F264" s="66">
        <f>F149/F150</f>
        <v>4.0555421664540134E-3</v>
      </c>
      <c r="G264" s="66">
        <f>G149/G150</f>
        <v>1.0017933092147661E-2</v>
      </c>
      <c r="H264" s="66">
        <f>H149/H150</f>
        <v>-9.3585586723705302E-3</v>
      </c>
      <c r="I264" s="66">
        <f>I149/I150</f>
        <v>-1.1684725736503566E-2</v>
      </c>
      <c r="J264" s="66">
        <f>J149/J150</f>
        <v>-6.3847494883505537E-2</v>
      </c>
      <c r="K264" s="66">
        <f>K149/K150</f>
        <v>-2.815262429058283E-2</v>
      </c>
      <c r="L264" s="66">
        <f>L149/L150</f>
        <v>-1.9421620709505545E-2</v>
      </c>
      <c r="M264" s="66">
        <f>M149/M150</f>
        <v>-8.0809559717182674E-3</v>
      </c>
      <c r="N264" s="66">
        <f>N149/N150</f>
        <v>-3.3430655915999466E-3</v>
      </c>
      <c r="O264" s="66">
        <f>O149/O150</f>
        <v>7.5655768516018492E-4</v>
      </c>
      <c r="P264" s="66">
        <f>P149/P150</f>
        <v>3.5370128787672265E-3</v>
      </c>
      <c r="Q264" s="66">
        <f>Q149/Q150</f>
        <v>1.842499800367423E-3</v>
      </c>
      <c r="R264" s="66">
        <f>R149/R150</f>
        <v>1.1555612170190964E-2</v>
      </c>
      <c r="S264" s="66">
        <f>S149/S150</f>
        <v>1.1072830643065459E-2</v>
      </c>
      <c r="T264" s="66">
        <f>T149/T150</f>
        <v>1.4445131091631662E-2</v>
      </c>
      <c r="U264" s="66">
        <f>U149/U150</f>
        <v>-1.3478536298382948E-2</v>
      </c>
      <c r="V264" s="66">
        <f>V149/V150</f>
        <v>-5.6097602545327812E-3</v>
      </c>
      <c r="W264" s="66">
        <f>W149/W150</f>
        <v>-3.0323577833723811E-3</v>
      </c>
      <c r="X264" s="80"/>
    </row>
    <row r="265" spans="1:24">
      <c r="A265" s="76">
        <v>25</v>
      </c>
      <c r="B265" s="65" t="str">
        <f>B152</f>
        <v>FKS Food Sejahtera Tbk PT</v>
      </c>
      <c r="C265" s="65" t="str">
        <f>C152</f>
        <v>AISA</v>
      </c>
      <c r="D265" s="66">
        <f>D155/D156</f>
        <v>-6.2901781571998066E-3</v>
      </c>
      <c r="E265" s="66">
        <f>E155/E156</f>
        <v>-2.8570501512204367E-2</v>
      </c>
      <c r="F265" s="66">
        <f>F155/F156</f>
        <v>-5.038776539078859E-2</v>
      </c>
      <c r="G265" s="66">
        <f>G155/G156</f>
        <v>0.68768934266326942</v>
      </c>
      <c r="H265" s="66">
        <f>H155/H156</f>
        <v>1.2490366718090344E-3</v>
      </c>
      <c r="I265" s="66">
        <f>I155/I156</f>
        <v>-1.7917212009923619E-2</v>
      </c>
      <c r="J265" s="66">
        <f>J155/J156</f>
        <v>-1.2078966775071273E-2</v>
      </c>
      <c r="K265" s="66">
        <f>K155/K156</f>
        <v>0.62866973195390441</v>
      </c>
      <c r="L265" s="66">
        <f>L155/L156</f>
        <v>1.12030607068085E-3</v>
      </c>
      <c r="M265" s="66">
        <f>M155/M156</f>
        <v>6.2453926374991626E-3</v>
      </c>
      <c r="N265" s="66">
        <f>N155/N156</f>
        <v>7.4866896183375757E-4</v>
      </c>
      <c r="O265" s="66">
        <f>O155/O156</f>
        <v>-5.6822245710516483E-3</v>
      </c>
      <c r="P265" s="66">
        <f>P155/P156</f>
        <v>-7.4050395702103229E-3</v>
      </c>
      <c r="Q265" s="66">
        <f>Q155/Q156</f>
        <v>-6.4893535517954676E-3</v>
      </c>
      <c r="R265" s="66">
        <f>R155/R156</f>
        <v>5.4051251182194989E-4</v>
      </c>
      <c r="S265" s="66">
        <f>S155/S156</f>
        <v>-2.0988310017247516E-2</v>
      </c>
      <c r="T265" s="66">
        <f>T155/T156</f>
        <v>1.1748561765784788E-3</v>
      </c>
      <c r="U265" s="66">
        <f>U155/U156</f>
        <v>-4.1023217236634329E-3</v>
      </c>
      <c r="V265" s="66">
        <f>V155/V156</f>
        <v>1.1097466243231512E-2</v>
      </c>
      <c r="W265" s="66">
        <f>W155/W156</f>
        <v>2.388102944642282E-3</v>
      </c>
      <c r="X265" s="80"/>
    </row>
    <row r="266" spans="1:24">
      <c r="A266" s="76">
        <v>26</v>
      </c>
      <c r="B266" s="65" t="str">
        <f>B158</f>
        <v>Indosat Tbk</v>
      </c>
      <c r="C266" s="65" t="str">
        <f>C158</f>
        <v>ISAT</v>
      </c>
      <c r="D266" s="66">
        <f>D161/D162</f>
        <v>-5.0427415248347112E-3</v>
      </c>
      <c r="E266" s="66">
        <f>E161/E162</f>
        <v>1.7901081060606115E-4</v>
      </c>
      <c r="F266" s="66">
        <f>F161/F162</f>
        <v>2.4564666282695643E-4</v>
      </c>
      <c r="G266" s="66">
        <f>G161/G162</f>
        <v>3.0034546988680688E-2</v>
      </c>
      <c r="H266" s="66">
        <f>H161/H162</f>
        <v>-9.7418223015486981E-3</v>
      </c>
      <c r="I266" s="66">
        <f>I161/I162</f>
        <v>4.5090105964401299E-3</v>
      </c>
      <c r="J266" s="66">
        <f>J161/J162</f>
        <v>-1.6228811823107568E-3</v>
      </c>
      <c r="K266" s="66">
        <f>K161/K162</f>
        <v>-3.379089800145718E-3</v>
      </c>
      <c r="L266" s="66">
        <f>L161/L162</f>
        <v>3.2299011189113476E-3</v>
      </c>
      <c r="M266" s="66">
        <f>M161/M162</f>
        <v>7.7261121585798093E-2</v>
      </c>
      <c r="N266" s="66">
        <f>N161/N162</f>
        <v>3.2200910752497583E-3</v>
      </c>
      <c r="O266" s="66">
        <f>O161/O162</f>
        <v>1.5679128026390082E-2</v>
      </c>
      <c r="P266" s="66">
        <f>P161/P162</f>
        <v>1.6271291624299186E-3</v>
      </c>
      <c r="Q266" s="66">
        <f>Q161/Q162</f>
        <v>3.2582315911379202E-2</v>
      </c>
      <c r="R266" s="66">
        <f>R161/R162</f>
        <v>4.8562940047010865E-3</v>
      </c>
      <c r="S266" s="66">
        <f>S161/S162</f>
        <v>1.1466913893977429E-2</v>
      </c>
      <c r="T266" s="66">
        <f>T161/T162</f>
        <v>8.6454234482528751E-3</v>
      </c>
      <c r="U266" s="66">
        <f>U161/U162</f>
        <v>9.5543742234897849E-3</v>
      </c>
      <c r="V266" s="66">
        <f>V161/V162</f>
        <v>1.0694699899234538E-2</v>
      </c>
      <c r="W266" s="66">
        <f>W161/W162</f>
        <v>1.3352501483822898E-2</v>
      </c>
      <c r="X266" s="80"/>
    </row>
    <row r="267" spans="1:24">
      <c r="A267" s="76">
        <v>27</v>
      </c>
      <c r="B267" s="65" t="str">
        <f>B164</f>
        <v>Krakatau Steel Persero Tbk</v>
      </c>
      <c r="C267" s="65" t="str">
        <f>C164</f>
        <v>KRAS</v>
      </c>
      <c r="D267" s="66">
        <f>D167/D168</f>
        <v>0</v>
      </c>
      <c r="E267" s="66">
        <f t="shared" ref="E267:W267" si="12">E167/E168</f>
        <v>-1.5376220905144452E-2</v>
      </c>
      <c r="F267" s="66">
        <f t="shared" si="12"/>
        <v>-1.7243022373408065E-2</v>
      </c>
      <c r="G267" s="66">
        <f t="shared" si="12"/>
        <v>-1.8094038740230474E-2</v>
      </c>
      <c r="H267" s="66">
        <f t="shared" si="12"/>
        <v>-8.8231043504426745E-2</v>
      </c>
      <c r="I267" s="66">
        <f t="shared" si="12"/>
        <v>9.1206897316803675E-4</v>
      </c>
      <c r="J267" s="66">
        <f t="shared" si="12"/>
        <v>6.0165629962724381E-4</v>
      </c>
      <c r="K267" s="66">
        <f t="shared" si="12"/>
        <v>-9.5166260708416817E-3</v>
      </c>
      <c r="L267" s="66">
        <f t="shared" si="12"/>
        <v>1.3942952928694173E-2</v>
      </c>
      <c r="M267" s="66">
        <f t="shared" si="12"/>
        <v>7.006222124969862E-3</v>
      </c>
      <c r="N267" s="66">
        <f t="shared" si="12"/>
        <v>2.4568662896055507E-3</v>
      </c>
      <c r="O267" s="66">
        <f t="shared" si="12"/>
        <v>7.0847652433461104E-3</v>
      </c>
      <c r="P267" s="66">
        <f t="shared" si="12"/>
        <v>6.8553845110179044E-4</v>
      </c>
      <c r="Q267" s="66">
        <f t="shared" si="12"/>
        <v>6.7805510461990811E-3</v>
      </c>
      <c r="R267" s="66">
        <f t="shared" si="12"/>
        <v>1.3384402760009659E-2</v>
      </c>
      <c r="S267" s="66">
        <f t="shared" si="12"/>
        <v>9.4479694104563608E-4</v>
      </c>
      <c r="T267" s="66">
        <f t="shared" si="12"/>
        <v>6.0080305233247552E-3</v>
      </c>
      <c r="U267" s="66">
        <f t="shared" si="12"/>
        <v>-3.2906765329777702E-3</v>
      </c>
      <c r="V267" s="66">
        <f t="shared" si="12"/>
        <v>-9.1796189228748534E-3</v>
      </c>
      <c r="W267" s="66">
        <f t="shared" si="12"/>
        <v>-7.2769994813384475E-3</v>
      </c>
      <c r="X267" s="80"/>
    </row>
    <row r="268" spans="1:24">
      <c r="A268" s="76">
        <v>28</v>
      </c>
      <c r="B268" s="65" t="str">
        <f>B170</f>
        <v>Bakrie Sumatera Plantations</v>
      </c>
      <c r="C268" s="65" t="str">
        <f>C170</f>
        <v>UNSP</v>
      </c>
      <c r="D268" s="66">
        <f>D173/D174</f>
        <v>2.5205468681953843E-3</v>
      </c>
      <c r="E268" s="66">
        <f t="shared" ref="E268:W268" si="13">E173/E174</f>
        <v>-6.027477610713431E-3</v>
      </c>
      <c r="F268" s="66">
        <f t="shared" si="13"/>
        <v>-1.0586669551310924E-2</v>
      </c>
      <c r="G268" s="66">
        <f t="shared" si="13"/>
        <v>-1.6666940480688848E-2</v>
      </c>
      <c r="H268" s="66">
        <f t="shared" si="13"/>
        <v>-0.23312379402614319</v>
      </c>
      <c r="I268" s="66">
        <f t="shared" si="13"/>
        <v>3.5391665404363934E-2</v>
      </c>
      <c r="J268" s="66">
        <f t="shared" si="13"/>
        <v>7.7889164108167305E-2</v>
      </c>
      <c r="K268" s="66">
        <f t="shared" si="13"/>
        <v>1.3342502530988939E-2</v>
      </c>
      <c r="L268" s="66">
        <f t="shared" si="13"/>
        <v>-5.4245560228049446E-2</v>
      </c>
      <c r="M268" s="66">
        <f t="shared" si="13"/>
        <v>9.5922970748796316E-3</v>
      </c>
      <c r="N268" s="66">
        <f t="shared" si="13"/>
        <v>3.3192159362326903E-2</v>
      </c>
      <c r="O268" s="66">
        <f t="shared" si="13"/>
        <v>2.3979055651679241E-2</v>
      </c>
      <c r="P268" s="66">
        <f t="shared" si="13"/>
        <v>1.1522062800449838E-3</v>
      </c>
      <c r="Q268" s="66">
        <f t="shared" si="13"/>
        <v>0.1308710932705125</v>
      </c>
      <c r="R268" s="66">
        <f t="shared" si="13"/>
        <v>-2.4229654500662324E-2</v>
      </c>
      <c r="S268" s="66">
        <f t="shared" si="13"/>
        <v>8.093646634078526E-2</v>
      </c>
      <c r="T268" s="66">
        <f t="shared" si="13"/>
        <v>-5.6768781375081741E-2</v>
      </c>
      <c r="U268" s="66">
        <f t="shared" si="13"/>
        <v>0.11165376540300817</v>
      </c>
      <c r="V268" s="66">
        <f t="shared" si="13"/>
        <v>-2.0385501058521462E-2</v>
      </c>
      <c r="W268" s="66">
        <f t="shared" si="13"/>
        <v>-2.7818782930988162E-2</v>
      </c>
      <c r="X268" s="80"/>
    </row>
    <row r="269" spans="1:24">
      <c r="A269" s="76">
        <v>29</v>
      </c>
      <c r="B269" s="65" t="str">
        <f>B176</f>
        <v>Multipolar Tbk</v>
      </c>
      <c r="C269" s="65" t="str">
        <f>C176</f>
        <v>MLPL</v>
      </c>
      <c r="D269" s="66">
        <f>D179/D180</f>
        <v>-5.2691092127028633E-3</v>
      </c>
      <c r="E269" s="66">
        <f t="shared" ref="E269:W269" si="14">E179/E180</f>
        <v>8.1278497440393554E-5</v>
      </c>
      <c r="F269" s="66">
        <f t="shared" si="14"/>
        <v>-6.9294358807253566E-4</v>
      </c>
      <c r="G269" s="66">
        <f t="shared" si="14"/>
        <v>-6.3037953336777225E-2</v>
      </c>
      <c r="H269" s="66">
        <f t="shared" si="14"/>
        <v>-4.1421875374913174E-2</v>
      </c>
      <c r="I269" s="66">
        <f t="shared" si="14"/>
        <v>1.9388173167511017E-3</v>
      </c>
      <c r="J269" s="66">
        <f t="shared" si="14"/>
        <v>1.1362696768923595E-3</v>
      </c>
      <c r="K269" s="66">
        <f t="shared" si="14"/>
        <v>-2.0082951557305682E-2</v>
      </c>
      <c r="L269" s="66">
        <f t="shared" si="14"/>
        <v>-1.9771871422897377E-2</v>
      </c>
      <c r="M269" s="66">
        <f t="shared" si="14"/>
        <v>2.3282578244540806E-2</v>
      </c>
      <c r="N269" s="66">
        <f t="shared" si="14"/>
        <v>2.227098877991373E-3</v>
      </c>
      <c r="O269" s="66">
        <f t="shared" si="14"/>
        <v>-4.219434437394854E-3</v>
      </c>
      <c r="P269" s="66">
        <f t="shared" si="14"/>
        <v>-8.9202928180474317E-3</v>
      </c>
      <c r="Q269" s="66">
        <f t="shared" si="14"/>
        <v>1.0114770654532753E-2</v>
      </c>
      <c r="R269" s="66">
        <f t="shared" si="14"/>
        <v>5.1883469819682883E-4</v>
      </c>
      <c r="S269" s="66">
        <f t="shared" si="14"/>
        <v>-5.4199301196142281E-3</v>
      </c>
      <c r="T269" s="66">
        <f t="shared" si="14"/>
        <v>-2.6075401687097521E-3</v>
      </c>
      <c r="U269" s="66">
        <f t="shared" si="14"/>
        <v>3.618263429135822E-3</v>
      </c>
      <c r="V269" s="66">
        <f t="shared" si="14"/>
        <v>-8.2687696014577727E-4</v>
      </c>
      <c r="W269" s="66">
        <f t="shared" si="14"/>
        <v>2.3217584367346039E-3</v>
      </c>
      <c r="X269" s="80"/>
    </row>
    <row r="270" spans="1:24">
      <c r="A270" s="76">
        <v>30</v>
      </c>
      <c r="B270" s="65" t="str">
        <f>B182</f>
        <v>Visi Media Asia Tbk</v>
      </c>
      <c r="C270" s="65" t="str">
        <f>C182</f>
        <v>VIVA</v>
      </c>
      <c r="D270" s="66">
        <f>D185/D186</f>
        <v>-3.463389446563693E-2</v>
      </c>
      <c r="E270" s="66">
        <f t="shared" ref="E270:W270" si="15">E185/E186</f>
        <v>-1.0629392827336331E-2</v>
      </c>
      <c r="F270" s="66">
        <f t="shared" si="15"/>
        <v>-2.7394349290434376E-2</v>
      </c>
      <c r="G270" s="66">
        <f t="shared" si="15"/>
        <v>-4.1573311721560237E-2</v>
      </c>
      <c r="H270" s="66">
        <f t="shared" si="15"/>
        <v>-5.6533603066118265E-2</v>
      </c>
      <c r="I270" s="66">
        <f t="shared" si="15"/>
        <v>-0.11710169194054343</v>
      </c>
      <c r="J270" s="66">
        <f t="shared" si="15"/>
        <v>-8.1240275525487807E-2</v>
      </c>
      <c r="K270" s="66">
        <f t="shared" si="15"/>
        <v>-0.1189486164031603</v>
      </c>
      <c r="L270" s="66">
        <f t="shared" si="15"/>
        <v>-0.21085025011521261</v>
      </c>
      <c r="M270" s="66">
        <f t="shared" si="15"/>
        <v>-1.8618165060204857E-2</v>
      </c>
      <c r="N270" s="66">
        <f t="shared" si="15"/>
        <v>-1.311806099188687E-2</v>
      </c>
      <c r="O270" s="66">
        <f t="shared" si="15"/>
        <v>-1.209374443203008E-2</v>
      </c>
      <c r="P270" s="66">
        <f t="shared" si="15"/>
        <v>-7.4762173227118202E-3</v>
      </c>
      <c r="Q270" s="66">
        <f t="shared" si="15"/>
        <v>-2.524970821369649E-2</v>
      </c>
      <c r="R270" s="66">
        <f t="shared" si="15"/>
        <v>-7.8828415684259925E-2</v>
      </c>
      <c r="S270" s="66">
        <f t="shared" si="15"/>
        <v>-0.12046435241824312</v>
      </c>
      <c r="T270" s="66">
        <f t="shared" si="15"/>
        <v>-0.1937848768744308</v>
      </c>
      <c r="U270" s="66">
        <f t="shared" si="15"/>
        <v>-8.0009554120240405E-3</v>
      </c>
      <c r="V270" s="66">
        <f t="shared" si="15"/>
        <v>-5.4312251971730639E-2</v>
      </c>
      <c r="W270" s="66">
        <f t="shared" si="15"/>
        <v>-9.7683546303174579E-2</v>
      </c>
      <c r="X270" s="80"/>
    </row>
    <row r="272" spans="1:24">
      <c r="A272" s="88"/>
      <c r="B272" s="89"/>
      <c r="C272" s="89"/>
      <c r="D272" s="89"/>
      <c r="E272" s="89"/>
      <c r="F272" s="89"/>
      <c r="G272" s="90"/>
      <c r="H272" s="89"/>
      <c r="I272" s="89"/>
      <c r="J272" s="89"/>
      <c r="K272" s="89"/>
      <c r="L272" s="89"/>
      <c r="M272" s="89"/>
      <c r="N272" s="89"/>
      <c r="O272" s="90"/>
      <c r="P272" s="89"/>
      <c r="Q272" s="89"/>
      <c r="R272" s="89"/>
      <c r="S272" s="90"/>
      <c r="T272" s="89"/>
      <c r="U272" s="89"/>
      <c r="V272" s="89"/>
      <c r="W272" s="90"/>
    </row>
    <row r="274" spans="1:24">
      <c r="A274" s="164" t="s">
        <v>0</v>
      </c>
      <c r="B274" s="161" t="s">
        <v>1</v>
      </c>
      <c r="C274" s="161" t="s">
        <v>2</v>
      </c>
      <c r="D274" s="67" t="s">
        <v>60</v>
      </c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</row>
    <row r="275" spans="1:24">
      <c r="A275" s="165"/>
      <c r="B275" s="162"/>
      <c r="C275" s="162"/>
      <c r="D275" s="159">
        <v>2019</v>
      </c>
      <c r="E275" s="159"/>
      <c r="F275" s="159"/>
      <c r="G275" s="159"/>
      <c r="H275" s="159">
        <v>2020</v>
      </c>
      <c r="I275" s="159"/>
      <c r="J275" s="159"/>
      <c r="K275" s="159"/>
      <c r="L275" s="159">
        <v>2021</v>
      </c>
      <c r="M275" s="159"/>
      <c r="N275" s="159"/>
      <c r="O275" s="159"/>
      <c r="P275" s="159">
        <v>2022</v>
      </c>
      <c r="Q275" s="159"/>
      <c r="R275" s="159"/>
      <c r="S275" s="159"/>
      <c r="T275" s="159">
        <v>2023</v>
      </c>
      <c r="U275" s="159"/>
      <c r="V275" s="159"/>
      <c r="W275" s="159"/>
      <c r="X275" s="46"/>
    </row>
    <row r="276" spans="1:24">
      <c r="A276" s="166"/>
      <c r="B276" s="163"/>
      <c r="C276" s="163"/>
      <c r="D276" s="65" t="s">
        <v>5</v>
      </c>
      <c r="E276" s="65" t="s">
        <v>6</v>
      </c>
      <c r="F276" s="65" t="s">
        <v>7</v>
      </c>
      <c r="G276" s="65" t="s">
        <v>8</v>
      </c>
      <c r="H276" s="65" t="s">
        <v>5</v>
      </c>
      <c r="I276" s="65" t="s">
        <v>6</v>
      </c>
      <c r="J276" s="65" t="s">
        <v>7</v>
      </c>
      <c r="K276" s="65" t="s">
        <v>8</v>
      </c>
      <c r="L276" s="65" t="s">
        <v>5</v>
      </c>
      <c r="M276" s="65" t="s">
        <v>6</v>
      </c>
      <c r="N276" s="65" t="s">
        <v>7</v>
      </c>
      <c r="O276" s="65" t="s">
        <v>8</v>
      </c>
      <c r="P276" s="65" t="s">
        <v>5</v>
      </c>
      <c r="Q276" s="65" t="s">
        <v>6</v>
      </c>
      <c r="R276" s="65" t="s">
        <v>7</v>
      </c>
      <c r="S276" s="65" t="s">
        <v>8</v>
      </c>
      <c r="T276" s="65" t="s">
        <v>5</v>
      </c>
      <c r="U276" s="65" t="s">
        <v>6</v>
      </c>
      <c r="V276" s="65" t="s">
        <v>7</v>
      </c>
      <c r="W276" s="65" t="s">
        <v>8</v>
      </c>
    </row>
    <row r="277" spans="1:24" ht="17">
      <c r="A277" s="78">
        <v>1</v>
      </c>
      <c r="B277" s="63" t="str">
        <f>B241</f>
        <v>BARAMULTI SUKSESSARANA TBK</v>
      </c>
      <c r="C277" s="68" t="str">
        <f>C241</f>
        <v>BRRS</v>
      </c>
      <c r="D277" s="64">
        <f>D9/D8</f>
        <v>0.39842601674603695</v>
      </c>
      <c r="E277" s="64">
        <f>E9/E8</f>
        <v>0.35574871310878575</v>
      </c>
      <c r="F277" s="64">
        <f>F9/F8</f>
        <v>0.35574871310878575</v>
      </c>
      <c r="G277" s="64">
        <f>G9/G8</f>
        <v>0.32057825393837464</v>
      </c>
      <c r="H277" s="64">
        <f>H9/H8</f>
        <v>0.30254515729035353</v>
      </c>
      <c r="I277" s="64">
        <f>I9/I8</f>
        <v>0.30254515729035353</v>
      </c>
      <c r="J277" s="64">
        <f>J9/J8</f>
        <v>0.26846826452581113</v>
      </c>
      <c r="K277" s="64">
        <f>K9/K8</f>
        <v>0.27708163953969095</v>
      </c>
      <c r="L277" s="64">
        <f>L9/L8</f>
        <v>0.2710761897184959</v>
      </c>
      <c r="M277" s="64">
        <f>M9/M8</f>
        <v>0.32934921914839349</v>
      </c>
      <c r="N277" s="64">
        <f>N9/N8</f>
        <v>0.36760414469541353</v>
      </c>
      <c r="O277" s="64">
        <f>O9/O8</f>
        <v>0.41970456240863302</v>
      </c>
      <c r="P277" s="64">
        <f>P9/P8</f>
        <v>0.27112010859720831</v>
      </c>
      <c r="Q277" s="64">
        <f>Q9/Q8</f>
        <v>0.27112010859720831</v>
      </c>
      <c r="R277" s="64">
        <f>R9/R8</f>
        <v>0.34034700529033168</v>
      </c>
      <c r="S277" s="64">
        <f>S9/S8</f>
        <v>0.4553834101338663</v>
      </c>
      <c r="T277" s="64">
        <f>T9/T8</f>
        <v>0.43191422014607611</v>
      </c>
      <c r="U277" s="64">
        <f>U9/U8</f>
        <v>0.44726328790545911</v>
      </c>
      <c r="V277" s="64">
        <f>V9/V8</f>
        <v>0.49862565226405164</v>
      </c>
      <c r="W277" s="64">
        <f>W9/W8</f>
        <v>0.406339220983578</v>
      </c>
      <c r="X277" s="61"/>
    </row>
    <row r="278" spans="1:24" ht="17">
      <c r="A278" s="78">
        <v>2</v>
      </c>
      <c r="B278" s="63" t="str">
        <f t="shared" ref="B278:C278" si="16">B242</f>
        <v>INDUSTRI JAMU &amp; FARMASI SIDO MUNCUL</v>
      </c>
      <c r="C278" s="68" t="str">
        <f t="shared" si="16"/>
        <v>SIDO</v>
      </c>
      <c r="D278" s="64">
        <f>D15/D14</f>
        <v>0.10771537771202308</v>
      </c>
      <c r="E278" s="64">
        <f>E15/E14</f>
        <v>9.3005630507033019E-2</v>
      </c>
      <c r="F278" s="64">
        <f>F15/F14</f>
        <v>1.317020804593891E-2</v>
      </c>
      <c r="G278" s="64">
        <f>G15/G14</f>
        <v>1.317020804593891E-2</v>
      </c>
      <c r="H278" s="64">
        <f>H15/H14</f>
        <v>0.11769350620429155</v>
      </c>
      <c r="I278" s="64">
        <f>I15/I14</f>
        <v>0.10641963056659444</v>
      </c>
      <c r="J278" s="64">
        <f>J15/J14</f>
        <v>0.10675522007301845</v>
      </c>
      <c r="K278" s="64">
        <f>K15/K14</f>
        <v>0.16307920268418161</v>
      </c>
      <c r="L278" s="64">
        <f>L15/L14</f>
        <v>0.26895826517852756</v>
      </c>
      <c r="M278" s="64">
        <f>M15/M14</f>
        <v>1.1916106068715321E-2</v>
      </c>
      <c r="N278" s="64">
        <f>N15/N14</f>
        <v>0.16084925906356679</v>
      </c>
      <c r="O278" s="64">
        <f>O15/O14</f>
        <v>0.14691310085844822</v>
      </c>
      <c r="P278" s="64">
        <f>P15/P14</f>
        <v>0.27968033628984112</v>
      </c>
      <c r="Q278" s="64">
        <f>Q15/Q14</f>
        <v>9.4242721019074105E-2</v>
      </c>
      <c r="R278" s="64">
        <f>R15/R14</f>
        <v>8.8016483702706566E-2</v>
      </c>
      <c r="S278" s="64">
        <f>S15/S14</f>
        <v>0.1411185066454454</v>
      </c>
      <c r="T278" s="64">
        <f>T15/T14</f>
        <v>0.26133207579362444</v>
      </c>
      <c r="U278" s="64">
        <f>U15/U14</f>
        <v>8.4224368401352011E-3</v>
      </c>
      <c r="V278" s="64">
        <f>V15/V14</f>
        <v>9.2061877895912761E-2</v>
      </c>
      <c r="W278" s="64">
        <f>W15/W14</f>
        <v>0.12973609416902743</v>
      </c>
      <c r="X278" s="61"/>
    </row>
    <row r="279" spans="1:24" ht="17">
      <c r="A279" s="78">
        <v>3</v>
      </c>
      <c r="B279" s="63" t="str">
        <f t="shared" ref="B279:C279" si="17">B243</f>
        <v xml:space="preserve">Siantar Top Tbk </v>
      </c>
      <c r="C279" s="68" t="str">
        <f t="shared" si="17"/>
        <v>STTP</v>
      </c>
      <c r="D279" s="64">
        <f>D21/D20</f>
        <v>0.3673980820792826</v>
      </c>
      <c r="E279" s="64">
        <f>E21/E20</f>
        <v>0.26760452934583173</v>
      </c>
      <c r="F279" s="64">
        <f>F21/F20</f>
        <v>0.26674966117552029</v>
      </c>
      <c r="G279" s="64">
        <f>G21/G20</f>
        <v>0.25456880679059607</v>
      </c>
      <c r="H279" s="64">
        <f>H21/H20</f>
        <v>0.25137570079363081</v>
      </c>
      <c r="I279" s="64">
        <f>I21/I20</f>
        <v>0.22194405117930002</v>
      </c>
      <c r="J279" s="64">
        <f>J21/J20</f>
        <v>0.23739519005670884</v>
      </c>
      <c r="K279" s="64">
        <f>K21/K20</f>
        <v>0.22490518173271573</v>
      </c>
      <c r="L279" s="64">
        <f>L21/L20</f>
        <v>0.24234843550152285</v>
      </c>
      <c r="M279" s="64">
        <f>M21/M20</f>
        <v>0.1492091931548174</v>
      </c>
      <c r="N279" s="64">
        <f>N21/N20</f>
        <v>0.16155572974814045</v>
      </c>
      <c r="O279" s="64">
        <f>O21/O20</f>
        <v>0.15778428470352843</v>
      </c>
      <c r="P279" s="64">
        <f>P21/P20</f>
        <v>0.16314304913239042</v>
      </c>
      <c r="Q279" s="64">
        <f>Q21/Q20</f>
        <v>0.13598102949936125</v>
      </c>
      <c r="R279" s="64">
        <f>R21/R20</f>
        <v>0.15103419850231742</v>
      </c>
      <c r="S279" s="64">
        <f>S21/S20</f>
        <v>0.14427725948019768</v>
      </c>
      <c r="T279" s="64">
        <f>T21/T20</f>
        <v>0.1352437566728821</v>
      </c>
      <c r="U279" s="64">
        <f>U21/U20</f>
        <v>0.11824068155782254</v>
      </c>
      <c r="V279" s="64">
        <f>V21/V20</f>
        <v>0.12004426090306712</v>
      </c>
      <c r="W279" s="64">
        <f>W21/W20</f>
        <v>0.11577820029891261</v>
      </c>
      <c r="X279" s="61"/>
    </row>
    <row r="280" spans="1:24" ht="17">
      <c r="A280" s="78">
        <v>4</v>
      </c>
      <c r="B280" s="63" t="str">
        <f t="shared" ref="B280:C280" si="18">B244</f>
        <v>Akasha Wira International Tbk</v>
      </c>
      <c r="C280" s="68" t="str">
        <f t="shared" si="18"/>
        <v>ADES</v>
      </c>
      <c r="D280" s="64">
        <f>D27/D26</f>
        <v>0.4233288253589152</v>
      </c>
      <c r="E280" s="64">
        <f>E27/E26</f>
        <v>0.40849244746463786</v>
      </c>
      <c r="F280" s="64">
        <f>F27/F26</f>
        <v>0.30939413284693723</v>
      </c>
      <c r="G280" s="64">
        <f>G27/G26</f>
        <v>0.30939413284693723</v>
      </c>
      <c r="H280" s="64">
        <f>H27/H26</f>
        <v>0.30358662657096658</v>
      </c>
      <c r="I280" s="64">
        <f>I27/I26</f>
        <v>0.25698056333448643</v>
      </c>
      <c r="J280" s="64">
        <f>J27/J26</f>
        <v>0.27858525118406763</v>
      </c>
      <c r="K280" s="64">
        <f>K27/K26</f>
        <v>0.26938404720111059</v>
      </c>
      <c r="L280" s="64">
        <f>L27/L26</f>
        <v>0.26453638434755761</v>
      </c>
      <c r="M280" s="64">
        <f>M27/M26</f>
        <v>0.25759593781230977</v>
      </c>
      <c r="N280" s="64">
        <f>N27/N26</f>
        <v>0.26606120152573037</v>
      </c>
      <c r="O280" s="64">
        <f>O27/O26</f>
        <v>0.25633689847773344</v>
      </c>
      <c r="P280" s="64">
        <f>P27/P26</f>
        <v>0.2429021990635965</v>
      </c>
      <c r="Q280" s="64">
        <f>Q27/Q26</f>
        <v>0.23360078139453894</v>
      </c>
      <c r="R280" s="64">
        <f>R27/R26</f>
        <v>0.21513473558627486</v>
      </c>
      <c r="S280" s="64">
        <f>S27/S26</f>
        <v>0.18883653321438859</v>
      </c>
      <c r="T280" s="64">
        <f>T27/T26</f>
        <v>1.9460885683766121E-2</v>
      </c>
      <c r="U280" s="64">
        <f>U27/U26</f>
        <v>0.17703877937144233</v>
      </c>
      <c r="V280" s="64">
        <f>V27/V26</f>
        <v>0.16174377535950332</v>
      </c>
      <c r="W280" s="64">
        <f>W27/W26</f>
        <v>0.17042828875369154</v>
      </c>
      <c r="X280" s="61"/>
    </row>
    <row r="281" spans="1:24" ht="17">
      <c r="A281" s="78">
        <v>5</v>
      </c>
      <c r="B281" s="63" t="str">
        <f t="shared" ref="B281:C281" si="19">B245</f>
        <v>PT SELAMAT SEMPURNA Tbk</v>
      </c>
      <c r="C281" s="68" t="str">
        <f t="shared" si="19"/>
        <v>SMSM</v>
      </c>
      <c r="D281" s="64">
        <f>D33/D32</f>
        <v>0.2299341878429994</v>
      </c>
      <c r="E281" s="64">
        <f>E33/E32</f>
        <v>0.20752080298183628</v>
      </c>
      <c r="F281" s="64">
        <f>F33/F32</f>
        <v>0.20752080298183628</v>
      </c>
      <c r="G281" s="64">
        <f>G33/G32</f>
        <v>0.21393050037962896</v>
      </c>
      <c r="H281" s="64">
        <f>H33/H32</f>
        <v>0.25650192336869393</v>
      </c>
      <c r="I281" s="64">
        <f>I33/I32</f>
        <v>0.21301841938840466</v>
      </c>
      <c r="J281" s="64">
        <f>J33/J32</f>
        <v>0.19826755634718787</v>
      </c>
      <c r="K281" s="64">
        <f>K33/K32</f>
        <v>0.21537858099745047</v>
      </c>
      <c r="L281" s="64">
        <f>L33/L32</f>
        <v>0.24499933116095832</v>
      </c>
      <c r="M281" s="64">
        <f>M33/M32</f>
        <v>0.29139468998119589</v>
      </c>
      <c r="N281" s="64">
        <f>N33/N32</f>
        <v>0.25628893638778177</v>
      </c>
      <c r="O281" s="64">
        <f>O33/O32</f>
        <v>0.24741875000969277</v>
      </c>
      <c r="P281" s="64">
        <f>P33/P32</f>
        <v>0.23882109036676089</v>
      </c>
      <c r="Q281" s="64">
        <f>Q33/Q32</f>
        <v>0.23739660305887333</v>
      </c>
      <c r="R281" s="64">
        <f>R33/R32</f>
        <v>0.26793839664044705</v>
      </c>
      <c r="S281" s="64">
        <f>S33/S32</f>
        <v>0.24215694803402246</v>
      </c>
      <c r="T281" s="64">
        <f>T33/T32</f>
        <v>0.22463721697458361</v>
      </c>
      <c r="U281" s="64">
        <f>U33/U32</f>
        <v>2.1488973841755812E-2</v>
      </c>
      <c r="V281" s="64">
        <f>V33/V32</f>
        <v>0.21488051167920155</v>
      </c>
      <c r="W281" s="64">
        <f>W33/W32</f>
        <v>2.0651426195677051E-2</v>
      </c>
      <c r="X281" s="61"/>
    </row>
    <row r="282" spans="1:24" ht="17">
      <c r="A282" s="78">
        <v>6</v>
      </c>
      <c r="B282" s="63" t="str">
        <f t="shared" ref="B282:C282" si="20">B246</f>
        <v>Aneka Tambang Tbk.</v>
      </c>
      <c r="C282" s="68" t="str">
        <f t="shared" si="20"/>
        <v>ANTM</v>
      </c>
      <c r="D282" s="64">
        <f>D39/D38</f>
        <v>0.40742503800634738</v>
      </c>
      <c r="E282" s="64">
        <f>E39/E38</f>
        <v>0.68811911295993233</v>
      </c>
      <c r="F282" s="64">
        <f>F39/F38</f>
        <v>0.38913849257069649</v>
      </c>
      <c r="G282" s="64">
        <f>G39/G38</f>
        <v>0.39945438480734519</v>
      </c>
      <c r="H282" s="64">
        <f>H39/H38</f>
        <v>0.41422099859107941</v>
      </c>
      <c r="I282" s="64">
        <f>I39/I38</f>
        <v>0.39721304868524376</v>
      </c>
      <c r="J282" s="64">
        <f>J39/J38</f>
        <v>0.38887019401895812</v>
      </c>
      <c r="K282" s="64">
        <f>K39/K38</f>
        <v>0.39994510473404066</v>
      </c>
      <c r="L282" s="64">
        <f>L39/L38</f>
        <v>0.39433521161779223</v>
      </c>
      <c r="M282" s="64">
        <f>M39/M38</f>
        <v>0.38571585009957515</v>
      </c>
      <c r="N282" s="64">
        <f>N39/N38</f>
        <v>0.38908803468885572</v>
      </c>
      <c r="O282" s="64">
        <f>O39/O38</f>
        <v>0.36696437864520864</v>
      </c>
      <c r="P282" s="64">
        <f>P39/P38</f>
        <v>0.33433720410127876</v>
      </c>
      <c r="Q282" s="64">
        <f>Q39/Q38</f>
        <v>0.33433720410127876</v>
      </c>
      <c r="R282" s="64">
        <f>R39/R38</f>
        <v>0.33214069909541938</v>
      </c>
      <c r="S282" s="64">
        <f>S39/S38</f>
        <v>0.29506588093903335</v>
      </c>
      <c r="T282" s="64">
        <f>T39/T38</f>
        <v>0.27485185428927456</v>
      </c>
      <c r="U282" s="64">
        <f>U39/U38</f>
        <v>0.34899767838611401</v>
      </c>
      <c r="V282" s="64">
        <f>V39/V38</f>
        <v>0.30657313208846976</v>
      </c>
      <c r="W282" s="64">
        <f>W39/W38</f>
        <v>0.27270237056124913</v>
      </c>
      <c r="X282" s="61"/>
    </row>
    <row r="283" spans="1:24" ht="17">
      <c r="A283" s="78">
        <v>7</v>
      </c>
      <c r="B283" s="63" t="str">
        <f t="shared" ref="B283:C283" si="21">B247</f>
        <v xml:space="preserve">Indo Tambangraya Megah Tbk </v>
      </c>
      <c r="C283" s="68" t="str">
        <f t="shared" si="21"/>
        <v>ITMG</v>
      </c>
      <c r="D283" s="64">
        <f>D45/D44</f>
        <v>0.41958339854781523</v>
      </c>
      <c r="E283" s="64">
        <f>E45/E44</f>
        <v>0.41958339854781523</v>
      </c>
      <c r="F283" s="64">
        <f>F45/F44</f>
        <v>0.30346222839441539</v>
      </c>
      <c r="G283" s="64">
        <f>G45/G44</f>
        <v>0.30346222839441539</v>
      </c>
      <c r="H283" s="64">
        <f>H45/H44</f>
        <v>0.30189498420711997</v>
      </c>
      <c r="I283" s="64">
        <f>I45/I44</f>
        <v>0.29857316913370341</v>
      </c>
      <c r="J283" s="64">
        <f>J45/J44</f>
        <v>0.26813765418966146</v>
      </c>
      <c r="K283" s="64">
        <f>K45/K44</f>
        <v>0.26957637000282231</v>
      </c>
      <c r="L283" s="64">
        <f>L45/L44</f>
        <v>0.26453097130053577</v>
      </c>
      <c r="M283" s="64">
        <f>M45/M44</f>
        <v>0.31049521098518074</v>
      </c>
      <c r="N283" s="64">
        <f>N45/N44</f>
        <v>0.31243640362499336</v>
      </c>
      <c r="O283" s="64">
        <f>O45/O44</f>
        <v>2.7887956049522308E-2</v>
      </c>
      <c r="P283" s="64">
        <f>P45/P44</f>
        <v>0.24918784452010376</v>
      </c>
      <c r="Q283" s="64">
        <f>Q45/Q44</f>
        <v>0.24918784452010376</v>
      </c>
      <c r="R283" s="64">
        <f>R45/R44</f>
        <v>0.22146412455823483</v>
      </c>
      <c r="S283" s="64">
        <f>S45/S44</f>
        <v>0.26130710175870786</v>
      </c>
      <c r="T283" s="64">
        <f>T45/T44</f>
        <v>0.39975998956977482</v>
      </c>
      <c r="U283" s="64">
        <f>U45/U44</f>
        <v>0.19349243332828933</v>
      </c>
      <c r="V283" s="64">
        <f>V45/V44</f>
        <v>0.21348484023505071</v>
      </c>
      <c r="W283" s="64">
        <f>W45/W44</f>
        <v>0.1825113913358658</v>
      </c>
      <c r="X283" s="61"/>
    </row>
    <row r="284" spans="1:24" ht="17">
      <c r="A284" s="78">
        <v>8</v>
      </c>
      <c r="B284" s="63" t="str">
        <f t="shared" ref="B284:C284" si="22">B248</f>
        <v xml:space="preserve">Tambang Batubara Bukit Asam Tbk </v>
      </c>
      <c r="C284" s="68" t="str">
        <f t="shared" si="22"/>
        <v>PTBA</v>
      </c>
      <c r="D284" s="64">
        <f>D51/D50</f>
        <v>0.29277771764981392</v>
      </c>
      <c r="E284" s="64">
        <f>E51/E50</f>
        <v>0.31298204072499142</v>
      </c>
      <c r="F284" s="64">
        <f>F51/F50</f>
        <v>0.31298204072499142</v>
      </c>
      <c r="G284" s="64">
        <f>G51/G50</f>
        <v>0.29409191153424019</v>
      </c>
      <c r="H284" s="64">
        <f>H51/H50</f>
        <v>0.28139793494914911</v>
      </c>
      <c r="I284" s="64">
        <f>I51/I50</f>
        <v>0.40627099096076053</v>
      </c>
      <c r="J284" s="64">
        <f>J51/J50</f>
        <v>0.3234366531848889</v>
      </c>
      <c r="K284" s="64">
        <f>K51/K50</f>
        <v>0.295865298540888</v>
      </c>
      <c r="L284" s="64">
        <f>L51/L50</f>
        <v>0.28379455110743396</v>
      </c>
      <c r="M284" s="64">
        <f>M51/M50</f>
        <v>0.35261050185101417</v>
      </c>
      <c r="N284" s="64">
        <f>N51/N50</f>
        <v>0.34690946018065838</v>
      </c>
      <c r="O284" s="64">
        <f>O51/O50</f>
        <v>0.32859253105917741</v>
      </c>
      <c r="P284" s="64">
        <f>P51/P50</f>
        <v>0.31976476956737504</v>
      </c>
      <c r="Q284" s="64">
        <f>Q51/Q50</f>
        <v>0.36778928323567694</v>
      </c>
      <c r="R284" s="64">
        <f>R51/R50</f>
        <v>0.35864687831478592</v>
      </c>
      <c r="S284" s="64">
        <f>S51/S50</f>
        <v>0.3625098869122646</v>
      </c>
      <c r="T284" s="64">
        <f>T51/T50</f>
        <v>0.35952501601033288</v>
      </c>
      <c r="U284" s="64">
        <f>U51/U50</f>
        <v>0.39894755717250102</v>
      </c>
      <c r="V284" s="64">
        <f>V51/V50</f>
        <v>0.4604103513614507</v>
      </c>
      <c r="W284" s="64">
        <f>W51/W50</f>
        <v>0.44374846205444785</v>
      </c>
      <c r="X284" s="61"/>
    </row>
    <row r="285" spans="1:24" ht="17">
      <c r="A285" s="78">
        <v>9</v>
      </c>
      <c r="B285" s="63" t="str">
        <f t="shared" ref="B285:C285" si="23">B249</f>
        <v>Kalbe Farma Tbk</v>
      </c>
      <c r="C285" s="68" t="str">
        <f t="shared" si="23"/>
        <v>KLBF</v>
      </c>
      <c r="D285" s="64">
        <f>D57/D56</f>
        <v>0.17313011441099804</v>
      </c>
      <c r="E285" s="64">
        <f>E57/E56</f>
        <v>0.18690177382286668</v>
      </c>
      <c r="F285" s="64">
        <f>F57/F56</f>
        <v>0.17648529156896023</v>
      </c>
      <c r="G285" s="64">
        <f>G57/G56</f>
        <v>0.17563248745900767</v>
      </c>
      <c r="H285" s="64">
        <f>H57/H56</f>
        <v>0.22030489869000699</v>
      </c>
      <c r="I285" s="64">
        <f>I57/I56</f>
        <v>0.2222809696853251</v>
      </c>
      <c r="J285" s="64">
        <f>J57/J56</f>
        <v>0.20257607759270524</v>
      </c>
      <c r="K285" s="64">
        <f>K57/K56</f>
        <v>0.19004436711880532</v>
      </c>
      <c r="L285" s="64">
        <f>L57/L56</f>
        <v>0.18703296279879442</v>
      </c>
      <c r="M285" s="64">
        <f>M57/M56</f>
        <v>0.17475904153810706</v>
      </c>
      <c r="N285" s="64">
        <f>N57/N56</f>
        <v>0.1761682309187457</v>
      </c>
      <c r="O285" s="64">
        <f>O57/O56</f>
        <v>0.17145828957921605</v>
      </c>
      <c r="P285" s="64">
        <f>P57/P56</f>
        <v>0.18299745121580691</v>
      </c>
      <c r="Q285" s="64">
        <f>Q57/Q56</f>
        <v>0.17945098638849291</v>
      </c>
      <c r="R285" s="64">
        <f>R57/R56</f>
        <v>0.19239716847515895</v>
      </c>
      <c r="S285" s="64">
        <f>S57/S56</f>
        <v>0.18883028209532232</v>
      </c>
      <c r="T285" s="64">
        <f>T57/T56</f>
        <v>0.18833389632869182</v>
      </c>
      <c r="U285" s="64">
        <f>U57/U56</f>
        <v>0.20579966815154185</v>
      </c>
      <c r="V285" s="64">
        <f>V57/V56</f>
        <v>0.17688430684838555</v>
      </c>
      <c r="W285" s="64">
        <f>W57/W56</f>
        <v>0.14552476207675016</v>
      </c>
      <c r="X285" s="61"/>
    </row>
    <row r="286" spans="1:24" ht="17">
      <c r="A286" s="78">
        <v>10</v>
      </c>
      <c r="B286" s="63" t="str">
        <f t="shared" ref="B286:C286" si="24">B250</f>
        <v>Pakuwon Jati Tbk</v>
      </c>
      <c r="C286" s="68" t="str">
        <f t="shared" si="24"/>
        <v>PWON</v>
      </c>
      <c r="D286" s="64">
        <f>D63/D62</f>
        <v>0.36474198682874892</v>
      </c>
      <c r="E286" s="64">
        <f>E63/E62</f>
        <v>0.32331618849571342</v>
      </c>
      <c r="F286" s="64">
        <f>F63/F62</f>
        <v>0.32331618849571342</v>
      </c>
      <c r="G286" s="64">
        <f>G63/G62</f>
        <v>0.30655157227293556</v>
      </c>
      <c r="H286" s="64">
        <f>H63/H62</f>
        <v>0.35704222137400399</v>
      </c>
      <c r="I286" s="64">
        <f>I63/I62</f>
        <v>0.35704222137400399</v>
      </c>
      <c r="J286" s="64">
        <f>J63/J62</f>
        <v>0.33818803192586017</v>
      </c>
      <c r="K286" s="64">
        <f>K63/K62</f>
        <v>0.3348643288975503</v>
      </c>
      <c r="L286" s="64">
        <f>L63/L62</f>
        <v>0.33040491267287325</v>
      </c>
      <c r="M286" s="64">
        <f>M63/M62</f>
        <v>0.37575661226567802</v>
      </c>
      <c r="N286" s="64">
        <f>N63/N62</f>
        <v>0.35832284614878096</v>
      </c>
      <c r="O286" s="64">
        <f>O63/O62</f>
        <v>0.33560643811353436</v>
      </c>
      <c r="P286" s="64">
        <f>P63/P62</f>
        <v>0.32579063773181866</v>
      </c>
      <c r="Q286" s="64">
        <f>Q63/Q62</f>
        <v>0.32579063773181866</v>
      </c>
      <c r="R286" s="64">
        <f>R63/R62</f>
        <v>0.32469059040633563</v>
      </c>
      <c r="S286" s="64">
        <f>S63/S62</f>
        <v>0.32298038676102003</v>
      </c>
      <c r="T286" s="64">
        <f>T63/T62</f>
        <v>0.31562298143594447</v>
      </c>
      <c r="U286" s="64">
        <f>U63/U62</f>
        <v>0.31394529516323672</v>
      </c>
      <c r="V286" s="64">
        <f>V63/V62</f>
        <v>0.30919673766921713</v>
      </c>
      <c r="W286" s="64">
        <f>W63/W62</f>
        <v>0.30312485670715056</v>
      </c>
      <c r="X286" s="61"/>
    </row>
    <row r="287" spans="1:24" ht="17">
      <c r="A287" s="78">
        <v>11</v>
      </c>
      <c r="B287" s="63" t="str">
        <f t="shared" ref="B287:C287" si="25">B251</f>
        <v>Surya Citra Media Tbk</v>
      </c>
      <c r="C287" s="68" t="str">
        <f t="shared" si="25"/>
        <v>SCMA</v>
      </c>
      <c r="D287" s="64">
        <f>D69/D68</f>
        <v>0.16833417022927408</v>
      </c>
      <c r="E287" s="64">
        <f>E69/E68</f>
        <v>0.18580372286871652</v>
      </c>
      <c r="F287" s="64">
        <f>F69/F68</f>
        <v>0.18571435568794095</v>
      </c>
      <c r="G287" s="64">
        <f>G69/G68</f>
        <v>0.18284591307492287</v>
      </c>
      <c r="H287" s="64">
        <f>H69/H68</f>
        <v>0.19468629883241842</v>
      </c>
      <c r="I287" s="64">
        <f>I69/I68</f>
        <v>0.17007420322933317</v>
      </c>
      <c r="J287" s="64">
        <f>J69/J68</f>
        <v>0.19148719246720575</v>
      </c>
      <c r="K287" s="64">
        <f>K69/K68</f>
        <v>0.42416992477357179</v>
      </c>
      <c r="L287" s="64">
        <f>L69/L68</f>
        <v>0.3825090670579338</v>
      </c>
      <c r="M287" s="64">
        <f>M69/M68</f>
        <v>0.32609920314907065</v>
      </c>
      <c r="N287" s="64">
        <f>N69/N68</f>
        <v>0.28485219764833064</v>
      </c>
      <c r="O287" s="64">
        <f>O69/O68</f>
        <v>0.24736761508148669</v>
      </c>
      <c r="P287" s="64">
        <f>P69/P68</f>
        <v>0.23587791655912693</v>
      </c>
      <c r="Q287" s="64">
        <f>Q69/Q68</f>
        <v>0.22167544137381134</v>
      </c>
      <c r="R287" s="64">
        <f>R69/R68</f>
        <v>0.22167544137381134</v>
      </c>
      <c r="S287" s="64">
        <f>S69/S68</f>
        <v>0.20529074684967888</v>
      </c>
      <c r="T287" s="64">
        <f>T69/T68</f>
        <v>0.18042336499709377</v>
      </c>
      <c r="U287" s="64">
        <f>U69/U68</f>
        <v>0.21712599677960084</v>
      </c>
      <c r="V287" s="64">
        <f>V69/V68</f>
        <v>0.20002150460242957</v>
      </c>
      <c r="W287" s="64">
        <f>W69/W68</f>
        <v>0.23252050064857988</v>
      </c>
      <c r="X287" s="61"/>
    </row>
    <row r="288" spans="1:24" ht="17">
      <c r="A288" s="78">
        <v>12</v>
      </c>
      <c r="B288" s="63" t="str">
        <f t="shared" ref="B288:C288" si="26">B252</f>
        <v>United Tractors Tbk</v>
      </c>
      <c r="C288" s="68" t="str">
        <f t="shared" si="26"/>
        <v>UNTR</v>
      </c>
      <c r="D288" s="64">
        <f>D75/D74</f>
        <v>0.48889075770700102</v>
      </c>
      <c r="E288" s="64">
        <f>E75/E74</f>
        <v>0.48875027017783246</v>
      </c>
      <c r="F288" s="64">
        <f>F75/F74</f>
        <v>0.48875027017783246</v>
      </c>
      <c r="G288" s="64">
        <f>G75/G74</f>
        <v>0.45297441779017061</v>
      </c>
      <c r="H288" s="64">
        <f>H75/H74</f>
        <v>0.42216982866432828</v>
      </c>
      <c r="I288" s="64">
        <f>I75/I74</f>
        <v>0.40911100668131201</v>
      </c>
      <c r="J288" s="64">
        <f>J75/J74</f>
        <v>0.38764824855312929</v>
      </c>
      <c r="K288" s="64">
        <f>K75/K74</f>
        <v>0.36726923166062037</v>
      </c>
      <c r="L288" s="64">
        <f>L75/L74</f>
        <v>0.36331896397079028</v>
      </c>
      <c r="M288" s="64">
        <f>M75/M74</f>
        <v>0.36688754903668624</v>
      </c>
      <c r="N288" s="64">
        <f>N75/N74</f>
        <v>0.37245531158015482</v>
      </c>
      <c r="O288" s="64">
        <f>O75/O74</f>
        <v>0.36192349175324434</v>
      </c>
      <c r="P288" s="64">
        <f>P75/P74</f>
        <v>0.35783437807273127</v>
      </c>
      <c r="Q288" s="64">
        <f>Q75/Q74</f>
        <v>0.36580655183351157</v>
      </c>
      <c r="R288" s="64">
        <f>R75/R74</f>
        <v>0.40234350902699983</v>
      </c>
      <c r="S288" s="64">
        <f>S75/S74</f>
        <v>0.36279214671142618</v>
      </c>
      <c r="T288" s="64">
        <f>T75/T74</f>
        <v>0.39154795522385621</v>
      </c>
      <c r="U288" s="64">
        <f>U75/U74</f>
        <v>0.43611889758997607</v>
      </c>
      <c r="V288" s="64">
        <f>V75/V74</f>
        <v>0.48566664727285452</v>
      </c>
      <c r="W288" s="64">
        <f>W75/W74</f>
        <v>0.45441460192418731</v>
      </c>
      <c r="X288" s="61"/>
    </row>
    <row r="289" spans="1:24" ht="17">
      <c r="A289" s="78">
        <v>13</v>
      </c>
      <c r="B289" s="63" t="str">
        <f t="shared" ref="B289:C289" si="27">B253</f>
        <v>Vale Indonesia Tbk</v>
      </c>
      <c r="C289" s="68" t="str">
        <f t="shared" si="27"/>
        <v>INCO</v>
      </c>
      <c r="D289" s="64">
        <f>D81/D80</f>
        <v>0.13070615643212258</v>
      </c>
      <c r="E289" s="64">
        <f>E81/E80</f>
        <v>0.11913343881806539</v>
      </c>
      <c r="F289" s="64">
        <f>F81/F80</f>
        <v>0.11913343881806539</v>
      </c>
      <c r="G289" s="64">
        <f>G81/G80</f>
        <v>0.12642125210555868</v>
      </c>
      <c r="H289" s="64">
        <f>H81/H80</f>
        <v>1.0308668491714476E-2</v>
      </c>
      <c r="I289" s="64">
        <f>I81/I80</f>
        <v>0.10835788352948907</v>
      </c>
      <c r="J289" s="64">
        <f>J81/J80</f>
        <v>0.11413007697594864</v>
      </c>
      <c r="K289" s="64">
        <f>K81/K80</f>
        <v>1.2713325251505838E-2</v>
      </c>
      <c r="L289" s="64">
        <f>L81/L80</f>
        <v>0.11724829688152689</v>
      </c>
      <c r="M289" s="64">
        <f>M81/M80</f>
        <v>0.12434305807109866</v>
      </c>
      <c r="N289" s="64">
        <f>N81/N80</f>
        <v>0.12160426084969793</v>
      </c>
      <c r="O289" s="64">
        <f>O81/O80</f>
        <v>0.1287461157832247</v>
      </c>
      <c r="P289" s="64">
        <f>P81/P80</f>
        <v>0.12649926569787004</v>
      </c>
      <c r="Q289" s="64">
        <f>Q81/Q80</f>
        <v>0.11932493127236395</v>
      </c>
      <c r="R289" s="64">
        <f>R81/R80</f>
        <v>0.12524313488756389</v>
      </c>
      <c r="S289" s="64">
        <f>S81/S80</f>
        <v>0.11411691589080386</v>
      </c>
      <c r="T289" s="64">
        <f>T81/T80</f>
        <v>0.12196655962319169</v>
      </c>
      <c r="U289" s="64">
        <f>U81/U80</f>
        <v>0.1231253617910231</v>
      </c>
      <c r="V289" s="64">
        <f>V81/V80</f>
        <v>0.12120887140073995</v>
      </c>
      <c r="W289" s="64">
        <f>W81/W80</f>
        <v>0.12353456033306914</v>
      </c>
      <c r="X289" s="61"/>
    </row>
    <row r="290" spans="1:24" ht="17">
      <c r="A290" s="78">
        <v>14</v>
      </c>
      <c r="B290" s="63" t="str">
        <f t="shared" ref="B290:C290" si="28">B254</f>
        <v xml:space="preserve">PT Chitose Internasional Tbk </v>
      </c>
      <c r="C290" s="68" t="str">
        <f t="shared" si="28"/>
        <v>CINT</v>
      </c>
      <c r="D290" s="64">
        <f>D87/D86</f>
        <v>0.19784151261491389</v>
      </c>
      <c r="E290" s="64">
        <f>E87/E86</f>
        <v>0.21518125460099136</v>
      </c>
      <c r="F290" s="64">
        <f>F87/F86</f>
        <v>0.23649236419298278</v>
      </c>
      <c r="G290" s="64">
        <f>G87/G86</f>
        <v>0.25277843002164357</v>
      </c>
      <c r="H290" s="64">
        <f>H87/H86</f>
        <v>0.25192445190514912</v>
      </c>
      <c r="I290" s="64">
        <f>I87/I86</f>
        <v>0.24437261215866479</v>
      </c>
      <c r="J290" s="64">
        <f>J87/J86</f>
        <v>0.23084022476973848</v>
      </c>
      <c r="K290" s="64">
        <f>K87/K86</f>
        <v>0.22622205379856791</v>
      </c>
      <c r="L290" s="64">
        <f>L87/L86</f>
        <v>0.25160545149100544</v>
      </c>
      <c r="M290" s="64">
        <f>M87/M86</f>
        <v>0.25024107757902603</v>
      </c>
      <c r="N290" s="64">
        <f>N87/N86</f>
        <v>0.26858228613397417</v>
      </c>
      <c r="O290" s="64">
        <f>O87/O86</f>
        <v>0.29061002133538832</v>
      </c>
      <c r="P290" s="64">
        <f>P87/P86</f>
        <v>0.32587970797867344</v>
      </c>
      <c r="Q290" s="64">
        <f>Q87/Q86</f>
        <v>0.32587970797867344</v>
      </c>
      <c r="R290" s="64">
        <f>R87/R86</f>
        <v>0.33777295396637641</v>
      </c>
      <c r="S290" s="64">
        <f>S87/S86</f>
        <v>0.30890491656827723</v>
      </c>
      <c r="T290" s="64">
        <f>T87/T86</f>
        <v>0.33882414899428503</v>
      </c>
      <c r="U290" s="64">
        <f>U87/U86</f>
        <v>0.34976539844567983</v>
      </c>
      <c r="V290" s="64">
        <f>V87/V86</f>
        <v>0.31359336086956952</v>
      </c>
      <c r="W290" s="64">
        <f>W87/W86</f>
        <v>0.34408962384857089</v>
      </c>
      <c r="X290" s="61"/>
    </row>
    <row r="291" spans="1:24" ht="17">
      <c r="A291" s="78">
        <v>15</v>
      </c>
      <c r="B291" s="63" t="str">
        <f t="shared" ref="B291:C291" si="29">B255</f>
        <v>Ekadharma International Tbk</v>
      </c>
      <c r="C291" s="68" t="str">
        <f t="shared" si="29"/>
        <v>EKAD</v>
      </c>
      <c r="D291" s="64">
        <f>D93/D92</f>
        <v>0.14315493274392305</v>
      </c>
      <c r="E291" s="64">
        <f>E93/E92</f>
        <v>0.12209881606791341</v>
      </c>
      <c r="F291" s="64">
        <f>F93/F92</f>
        <v>0.12107122635105494</v>
      </c>
      <c r="G291" s="64">
        <f>G93/G92</f>
        <v>0.11948636070903347</v>
      </c>
      <c r="H291" s="64">
        <f>H93/H92</f>
        <v>0.11552171667855174</v>
      </c>
      <c r="I291" s="64">
        <f>I93/I92</f>
        <v>8.7232899520125987E-2</v>
      </c>
      <c r="J291" s="64">
        <f>J93/J92</f>
        <v>0.11549892855207214</v>
      </c>
      <c r="K291" s="64">
        <f>K93/K92</f>
        <v>0.11979637723535232</v>
      </c>
      <c r="L291" s="64">
        <f>L93/L92</f>
        <v>0.12252208073565327</v>
      </c>
      <c r="M291" s="64">
        <f>M93/M92</f>
        <v>0.12009840067559367</v>
      </c>
      <c r="N291" s="64">
        <f>N93/N92</f>
        <v>0.12896076065845224</v>
      </c>
      <c r="O291" s="64">
        <f>O93/O92</f>
        <v>0.1159655006281964</v>
      </c>
      <c r="P291" s="64">
        <f>P93/P92</f>
        <v>9.4310393320968341E-2</v>
      </c>
      <c r="Q291" s="64">
        <f>Q93/Q92</f>
        <v>9.7436320434644175E-2</v>
      </c>
      <c r="R291" s="64">
        <f>R93/R92</f>
        <v>9.3981622767377981E-2</v>
      </c>
      <c r="S291" s="64">
        <f>S93/S92</f>
        <v>8.8797970790676375E-2</v>
      </c>
      <c r="T291" s="64">
        <f>T93/T92</f>
        <v>8.4296991036816399E-2</v>
      </c>
      <c r="U291" s="64">
        <f>U93/U92</f>
        <v>9.9809282560131538E-2</v>
      </c>
      <c r="V291" s="64">
        <f>V93/V92</f>
        <v>7.8007480572104562E-2</v>
      </c>
      <c r="W291" s="64">
        <f>W93/W92</f>
        <v>7.977825095354267E-2</v>
      </c>
      <c r="X291" s="61"/>
    </row>
    <row r="292" spans="1:24" ht="17">
      <c r="A292" s="78">
        <v>16</v>
      </c>
      <c r="B292" s="63" t="str">
        <f>B94</f>
        <v xml:space="preserve">PT Borneo Olah Sarana Sukses Tbk </v>
      </c>
      <c r="C292" s="63" t="str">
        <f>C94</f>
        <v>BOSS</v>
      </c>
      <c r="D292" s="64">
        <f>D99/D98</f>
        <v>0.64445939069745217</v>
      </c>
      <c r="E292" s="64">
        <f>E99/E98</f>
        <v>0.63160292553497399</v>
      </c>
      <c r="F292" s="64">
        <f>F99/F98</f>
        <v>0.72681732519187559</v>
      </c>
      <c r="G292" s="64">
        <f>G99/G98</f>
        <v>0.76599948954909924</v>
      </c>
      <c r="H292" s="64">
        <f>H99/H98</f>
        <v>0.77814631461866113</v>
      </c>
      <c r="I292" s="64">
        <f>I99/I98</f>
        <v>0.77782101454104169</v>
      </c>
      <c r="J292" s="64">
        <f>J99/J98</f>
        <v>0.75587743437453336</v>
      </c>
      <c r="K292" s="64">
        <f>K99/K98</f>
        <v>0.80766929587668257</v>
      </c>
      <c r="L292" s="64">
        <f>L99/L98</f>
        <v>0.87504895005536087</v>
      </c>
      <c r="M292" s="64">
        <f>M99/M98</f>
        <v>0.9215433948483458</v>
      </c>
      <c r="N292" s="64">
        <f>N99/N98</f>
        <v>0.95408692280474838</v>
      </c>
      <c r="O292" s="64">
        <f>O99/O98</f>
        <v>1.039606551415772</v>
      </c>
      <c r="P292" s="64">
        <f>P99/P98</f>
        <v>1.1490169555473082</v>
      </c>
      <c r="Q292" s="64">
        <f>Q99/Q98</f>
        <v>1.129260085659231</v>
      </c>
      <c r="R292" s="64">
        <f>R99/R98</f>
        <v>1.0860761217171477</v>
      </c>
      <c r="S292" s="64">
        <f>S99/S98</f>
        <v>0.97822211744039655</v>
      </c>
      <c r="T292" s="64">
        <f>T99/T98</f>
        <v>1.0563335527313178</v>
      </c>
      <c r="U292" s="64">
        <f>U99/U98</f>
        <v>1.110583919203461</v>
      </c>
      <c r="V292" s="64">
        <f>V99/V98</f>
        <v>1.1807908747890432</v>
      </c>
      <c r="W292" s="64">
        <f>W99/W98</f>
        <v>1.2644253066604421</v>
      </c>
      <c r="X292" s="61"/>
    </row>
    <row r="293" spans="1:24" ht="17">
      <c r="A293" s="78">
        <v>17</v>
      </c>
      <c r="B293" s="63" t="str">
        <f>B100</f>
        <v>PT ETERINDO WAHANATAMA</v>
      </c>
      <c r="C293" s="68" t="str">
        <f>C100</f>
        <v>ETWA</v>
      </c>
      <c r="D293" s="64">
        <f>D105/D104</f>
        <v>1.2291734549182507</v>
      </c>
      <c r="E293" s="64">
        <f>E105/E104</f>
        <v>1.2373143494486272</v>
      </c>
      <c r="F293" s="64">
        <f>F105/F104</f>
        <v>1.4084100037297285</v>
      </c>
      <c r="G293" s="64">
        <f>G105/G104</f>
        <v>1.3688108689267089</v>
      </c>
      <c r="H293" s="64">
        <f>H105/H104</f>
        <v>1.3004655340662914</v>
      </c>
      <c r="I293" s="64">
        <f>I105/I104</f>
        <v>1.3082673703662508</v>
      </c>
      <c r="J293" s="64">
        <f>J105/J104</f>
        <v>1.4084100037293561</v>
      </c>
      <c r="K293" s="64">
        <f>K105/K104</f>
        <v>1.3688108689263714</v>
      </c>
      <c r="L293" s="64">
        <f>L105/L104</f>
        <v>1.3967383032445713</v>
      </c>
      <c r="M293" s="64">
        <f>M105/M104</f>
        <v>1.2540275849345912</v>
      </c>
      <c r="N293" s="64">
        <f>N105/N104</f>
        <v>1.2673865322588174</v>
      </c>
      <c r="O293" s="64">
        <f>O105/O104</f>
        <v>1.2830684054079355</v>
      </c>
      <c r="P293" s="64">
        <f>P105/P104</f>
        <v>1.315056014089955</v>
      </c>
      <c r="Q293" s="64">
        <f>Q105/Q104</f>
        <v>1.1089799915269367</v>
      </c>
      <c r="R293" s="64">
        <f>R105/R104</f>
        <v>1.135239491163889</v>
      </c>
      <c r="S293" s="64">
        <f>S105/S104</f>
        <v>1.1700947837398987</v>
      </c>
      <c r="T293" s="64">
        <f>T105/T104</f>
        <v>1.3935788786095193</v>
      </c>
      <c r="U293" s="64">
        <f>U105/U104</f>
        <v>1.4446630633557402</v>
      </c>
      <c r="V293" s="64">
        <f>V105/V104</f>
        <v>1.4552301461110375</v>
      </c>
      <c r="W293" s="64">
        <f>W105/W104</f>
        <v>1.4651751995878042</v>
      </c>
      <c r="X293" s="61"/>
    </row>
    <row r="294" spans="1:24" ht="16" customHeight="1">
      <c r="A294" s="78">
        <v>18</v>
      </c>
      <c r="B294" s="63" t="str">
        <f>B106</f>
        <v>PT Cowel Development Tbk</v>
      </c>
      <c r="C294" s="63" t="str">
        <f>C106</f>
        <v>COWL</v>
      </c>
      <c r="D294" s="64">
        <f>D111/D110</f>
        <v>0.64175263260697435</v>
      </c>
      <c r="E294" s="64">
        <f>E111/E110</f>
        <v>0.66478518415369403</v>
      </c>
      <c r="F294" s="64">
        <f>F111/F110</f>
        <v>0.71126530968672286</v>
      </c>
      <c r="G294" s="64">
        <f>G111/G110</f>
        <v>0.66837713588672132</v>
      </c>
      <c r="H294" s="64">
        <f>H111/H110</f>
        <v>0.65184286296491223</v>
      </c>
      <c r="I294" s="64">
        <f>I111/I110</f>
        <v>0.66319074953312951</v>
      </c>
      <c r="J294" s="64">
        <f>J111/J110</f>
        <v>0.65444473515265311</v>
      </c>
      <c r="K294" s="64">
        <f>K111/K110</f>
        <v>0.65642380511972054</v>
      </c>
      <c r="L294" s="64">
        <f>L111/L110</f>
        <v>0.65733938859623631</v>
      </c>
      <c r="M294" s="64">
        <f>M111/M110</f>
        <v>0.65914512316524143</v>
      </c>
      <c r="N294" s="64">
        <f>N111/N110</f>
        <v>0.66869517567607606</v>
      </c>
      <c r="O294" s="64">
        <f>O111/O110</f>
        <v>0.68484768848653022</v>
      </c>
      <c r="P294" s="64">
        <f>P111/P110</f>
        <v>0.68872759520980986</v>
      </c>
      <c r="Q294" s="64">
        <f>Q111/Q110</f>
        <v>0.70844921907033742</v>
      </c>
      <c r="R294" s="64">
        <f>R111/R110</f>
        <v>0.74178244840467533</v>
      </c>
      <c r="S294" s="64">
        <f>S111/S110</f>
        <v>0.75401078695256885</v>
      </c>
      <c r="T294" s="64">
        <f>T111/T110</f>
        <v>0.75527669744493353</v>
      </c>
      <c r="U294" s="64">
        <f>U111/U110</f>
        <v>0.752563055635461</v>
      </c>
      <c r="V294" s="64">
        <f>V111/V110</f>
        <v>0.75624500495333558</v>
      </c>
      <c r="W294" s="64">
        <f>W111/W110</f>
        <v>1.0075590117242819</v>
      </c>
      <c r="X294" s="61"/>
    </row>
    <row r="295" spans="1:24" ht="17">
      <c r="A295" s="78">
        <v>19</v>
      </c>
      <c r="B295" s="63" t="str">
        <f>B194</f>
        <v>Ebit</v>
      </c>
      <c r="C295" s="63">
        <f>C194</f>
        <v>0</v>
      </c>
      <c r="D295" s="64">
        <f>D199/D198</f>
        <v>0.66203916081658798</v>
      </c>
      <c r="E295" s="64">
        <f t="shared" ref="E295:W295" si="30">E199/E198</f>
        <v>0.6400690199570902</v>
      </c>
      <c r="F295" s="64">
        <f t="shared" si="30"/>
        <v>0.63787247234673838</v>
      </c>
      <c r="G295" s="64">
        <f t="shared" si="30"/>
        <v>0.63663998694356772</v>
      </c>
      <c r="H295" s="64">
        <f t="shared" si="30"/>
        <v>0.62337406125460926</v>
      </c>
      <c r="I295" s="64">
        <f t="shared" si="30"/>
        <v>0.61977108425722094</v>
      </c>
      <c r="J295" s="64">
        <f t="shared" si="30"/>
        <v>0.61112445051900555</v>
      </c>
      <c r="K295" s="64">
        <f t="shared" si="30"/>
        <v>0.59332494921157009</v>
      </c>
      <c r="L295" s="64">
        <f t="shared" si="30"/>
        <v>0.57951222184497531</v>
      </c>
      <c r="M295" s="64">
        <f t="shared" si="30"/>
        <v>0.5680799702224949</v>
      </c>
      <c r="N295" s="64">
        <f t="shared" si="30"/>
        <v>0.55905289272446945</v>
      </c>
      <c r="O295" s="64">
        <f t="shared" si="30"/>
        <v>0.55369098069984357</v>
      </c>
      <c r="P295" s="64">
        <f t="shared" si="30"/>
        <v>0.55534438604442149</v>
      </c>
      <c r="Q295" s="64">
        <f t="shared" si="30"/>
        <v>0.54791640358226401</v>
      </c>
      <c r="R295" s="64">
        <f t="shared" si="30"/>
        <v>0.5609598796466948</v>
      </c>
      <c r="S295" s="64">
        <f t="shared" si="30"/>
        <v>0.56142645079066378</v>
      </c>
      <c r="T295" s="64">
        <f t="shared" si="30"/>
        <v>0.57111127732016087</v>
      </c>
      <c r="U295" s="64">
        <f t="shared" si="30"/>
        <v>0.56283870130712599</v>
      </c>
      <c r="V295" s="64">
        <f t="shared" si="30"/>
        <v>0.56062740342796014</v>
      </c>
      <c r="W295" s="64">
        <f t="shared" si="30"/>
        <v>0.5828759576719712</v>
      </c>
      <c r="X295" s="61"/>
    </row>
    <row r="296" spans="1:24" ht="17">
      <c r="A296" s="78">
        <v>20</v>
      </c>
      <c r="B296" s="63" t="str">
        <f>B118</f>
        <v>PT Grand Kartech Tbk</v>
      </c>
      <c r="C296" s="63" t="str">
        <f>C118</f>
        <v>KRAH</v>
      </c>
      <c r="D296" s="64">
        <f>D124/D123</f>
        <v>0.61047598137509873</v>
      </c>
      <c r="E296" s="64">
        <f>E124/E123</f>
        <v>0.61375348449224809</v>
      </c>
      <c r="F296" s="64">
        <f>F124/F123</f>
        <v>0.62428330896193784</v>
      </c>
      <c r="G296" s="64">
        <f>G124/G123</f>
        <v>0.63233533385024498</v>
      </c>
      <c r="H296" s="64">
        <f>H124/H123</f>
        <v>0.66905342667078305</v>
      </c>
      <c r="I296" s="64">
        <f>I124/I123</f>
        <v>0.66124674022343688</v>
      </c>
      <c r="J296" s="64">
        <f>J124/J123</f>
        <v>0.67024056277959887</v>
      </c>
      <c r="K296" s="64">
        <f>K124/K123</f>
        <v>0.65110185864876302</v>
      </c>
      <c r="L296" s="64">
        <f>L124/L123</f>
        <v>0.70244606958406919</v>
      </c>
      <c r="M296" s="64">
        <f>M124/M123</f>
        <v>0.69141245192406264</v>
      </c>
      <c r="N296" s="64">
        <f>N124/N123</f>
        <v>0.70374402844367767</v>
      </c>
      <c r="O296" s="64">
        <f>O124/O123</f>
        <v>0.70202696587888069</v>
      </c>
      <c r="P296" s="64">
        <f>P124/P123</f>
        <v>0.80586420241430656</v>
      </c>
      <c r="Q296" s="64">
        <f>Q124/Q123</f>
        <v>0.82398530476397136</v>
      </c>
      <c r="R296" s="64">
        <f>R124/R123</f>
        <v>0.835916673180082</v>
      </c>
      <c r="S296" s="64">
        <f>S124/S123</f>
        <v>0.80059428494042129</v>
      </c>
      <c r="T296" s="64">
        <f>T124/T123</f>
        <v>0.9031568325098458</v>
      </c>
      <c r="U296" s="64">
        <f>U124/U123</f>
        <v>0.93135161428764357</v>
      </c>
      <c r="V296" s="64">
        <f>V124/V123</f>
        <v>0.93121333618862834</v>
      </c>
      <c r="W296" s="64">
        <f>W124/W123</f>
        <v>0.94230703744690525</v>
      </c>
      <c r="X296" s="61"/>
    </row>
    <row r="297" spans="1:24" ht="17">
      <c r="A297" s="78">
        <v>21</v>
      </c>
      <c r="B297" s="63" t="str">
        <f>B125</f>
        <v>Prima Alloy Steel Universal</v>
      </c>
      <c r="C297" s="63" t="str">
        <f>C125</f>
        <v>PRAS</v>
      </c>
      <c r="D297" s="64">
        <f>D131/D130</f>
        <v>0.57926561458066239</v>
      </c>
      <c r="E297" s="64">
        <f>E131/E130</f>
        <v>0.56672089835533956</v>
      </c>
      <c r="F297" s="64">
        <f>F131/F130</f>
        <v>0.55474170027494174</v>
      </c>
      <c r="G297" s="64">
        <f>G131/G130</f>
        <v>0.58991495449222586</v>
      </c>
      <c r="H297" s="64">
        <f>H131/H130</f>
        <v>0.61033471289870633</v>
      </c>
      <c r="I297" s="64">
        <f>I131/I130</f>
        <v>0.6960383049389367</v>
      </c>
      <c r="J297" s="64">
        <f>J131/J130</f>
        <v>0.67165091514622155</v>
      </c>
      <c r="K297" s="64">
        <f>K131/K130</f>
        <v>0.67872547185504384</v>
      </c>
      <c r="L297" s="64">
        <f>L131/L130</f>
        <v>0.68851083133045898</v>
      </c>
      <c r="M297" s="64">
        <f>M131/M130</f>
        <v>0.71105556130987213</v>
      </c>
      <c r="N297" s="64">
        <f>N131/N130</f>
        <v>0.68399248138018154</v>
      </c>
      <c r="O297" s="64">
        <f>O131/O130</f>
        <v>0.70081116038884972</v>
      </c>
      <c r="P297" s="64">
        <f>P131/P130</f>
        <v>0.70243396482031784</v>
      </c>
      <c r="Q297" s="64">
        <f>Q131/Q130</f>
        <v>0.70397308983526363</v>
      </c>
      <c r="R297" s="64">
        <f>R131/R130</f>
        <v>0.71438197499777611</v>
      </c>
      <c r="S297" s="64">
        <f>S131/S130</f>
        <v>0.76255016744101078</v>
      </c>
      <c r="T297" s="64">
        <f>T131/T130</f>
        <v>0.76255016744101078</v>
      </c>
      <c r="U297" s="64">
        <f>U131/U130</f>
        <v>0.76726867674869037</v>
      </c>
      <c r="V297" s="64">
        <f>V131/V130</f>
        <v>0.77840409467493399</v>
      </c>
      <c r="W297" s="64">
        <f>W131/W130</f>
        <v>0.82830356034846975</v>
      </c>
      <c r="X297" s="61"/>
    </row>
    <row r="298" spans="1:24" ht="17">
      <c r="A298" s="78">
        <v>22</v>
      </c>
      <c r="B298" s="63" t="str">
        <f>B188</f>
        <v>EXPRESS, INC.</v>
      </c>
      <c r="C298" s="63" t="str">
        <f>C132</f>
        <v>BTEL</v>
      </c>
      <c r="D298" s="64">
        <f>D193/D192</f>
        <v>0.46147298014866189</v>
      </c>
      <c r="E298" s="64">
        <f t="shared" ref="E298:W298" si="31">E193/E192</f>
        <v>0.73397730836742781</v>
      </c>
      <c r="F298" s="64">
        <f t="shared" si="31"/>
        <v>0.72792453694253212</v>
      </c>
      <c r="G298" s="64">
        <f t="shared" si="31"/>
        <v>0.73579176039046856</v>
      </c>
      <c r="H298" s="64">
        <f t="shared" si="31"/>
        <v>0.7731093140876476</v>
      </c>
      <c r="I298" s="64">
        <f t="shared" si="31"/>
        <v>0.85870594669583544</v>
      </c>
      <c r="J298" s="64">
        <f t="shared" si="31"/>
        <v>0.91177425739757878</v>
      </c>
      <c r="K298" s="64">
        <f t="shared" si="31"/>
        <v>0.96362594650586009</v>
      </c>
      <c r="L298" s="64">
        <f t="shared" si="31"/>
        <v>0.99335667763945046</v>
      </c>
      <c r="M298" s="64">
        <f t="shared" si="31"/>
        <v>1.0253629138027736</v>
      </c>
      <c r="N298" s="64">
        <f t="shared" si="31"/>
        <v>1.0187894879956494</v>
      </c>
      <c r="O298" s="64">
        <f t="shared" si="31"/>
        <v>1.0061693431450736</v>
      </c>
      <c r="P298" s="64">
        <f t="shared" si="31"/>
        <v>0.99896145472561915</v>
      </c>
      <c r="Q298" s="64">
        <f t="shared" si="31"/>
        <v>1.0082099230934256</v>
      </c>
      <c r="R298" s="64">
        <f t="shared" si="31"/>
        <v>1.0004411176700732</v>
      </c>
      <c r="S298" s="64">
        <f t="shared" si="31"/>
        <v>1.0265370758191636</v>
      </c>
      <c r="T298" s="64">
        <f t="shared" si="31"/>
        <v>0.7800446963331128</v>
      </c>
      <c r="U298" s="64">
        <f t="shared" si="31"/>
        <v>0.82591502850334009</v>
      </c>
      <c r="V298" s="64">
        <f t="shared" si="31"/>
        <v>0.87196158764986742</v>
      </c>
      <c r="W298" s="64">
        <f t="shared" si="31"/>
        <v>0.89919659780427019</v>
      </c>
      <c r="X298" s="61"/>
    </row>
    <row r="299" spans="1:24" ht="17">
      <c r="A299" s="78">
        <v>23</v>
      </c>
      <c r="B299" s="63" t="str">
        <f>B138</f>
        <v>Bumi Resources Tbk</v>
      </c>
      <c r="C299" s="63" t="str">
        <f>C138</f>
        <v>BUMI</v>
      </c>
      <c r="D299" s="64">
        <f>D144/D143</f>
        <v>0.85762908775387936</v>
      </c>
      <c r="E299" s="64">
        <f>E144/E143</f>
        <v>0.83841607198156753</v>
      </c>
      <c r="F299" s="64">
        <f>F144/F143</f>
        <v>1.0334389038217175</v>
      </c>
      <c r="G299" s="64">
        <f>G144/G143</f>
        <v>0.86228397880608476</v>
      </c>
      <c r="H299" s="64">
        <f>H144/H143</f>
        <v>0.86823639057988977</v>
      </c>
      <c r="I299" s="64">
        <f>I144/I143</f>
        <v>0.86651358616496432</v>
      </c>
      <c r="J299" s="64">
        <f>J144/J143</f>
        <v>0.87499232331266752</v>
      </c>
      <c r="K299" s="64">
        <f>K144/K143</f>
        <v>1.1746548489489435</v>
      </c>
      <c r="L299" s="64">
        <f>L144/L143</f>
        <v>1.1781335950691565</v>
      </c>
      <c r="M299" s="64">
        <f>M144/M143</f>
        <v>0.93832113120611804</v>
      </c>
      <c r="N299" s="64">
        <f>N144/N143</f>
        <v>1.1389947547675456</v>
      </c>
      <c r="O299" s="64">
        <f>O144/O143</f>
        <v>0.84695093686590539</v>
      </c>
      <c r="P299" s="64">
        <f>P144/P143</f>
        <v>0.81888941695804485</v>
      </c>
      <c r="Q299" s="64">
        <f>Q144/Q143</f>
        <v>0.80102118724506344</v>
      </c>
      <c r="R299" s="64">
        <f>R144/R143</f>
        <v>1.0293700425544381</v>
      </c>
      <c r="S299" s="64">
        <f>S144/S143</f>
        <v>0.64831855135419847</v>
      </c>
      <c r="T299" s="64">
        <f>T144/T143</f>
        <v>0.62930212781198602</v>
      </c>
      <c r="U299" s="64">
        <f>U144/U143</f>
        <v>0.63046538752449066</v>
      </c>
      <c r="V299" s="64">
        <f>V144/V143</f>
        <v>0.62038904831796382</v>
      </c>
      <c r="W299" s="64">
        <f>W144/W143</f>
        <v>0.63282197735796442</v>
      </c>
      <c r="X299" s="61"/>
    </row>
    <row r="300" spans="1:24" ht="17">
      <c r="A300" s="78">
        <v>24</v>
      </c>
      <c r="B300" s="63" t="str">
        <f>B145</f>
        <v>Modernland Realty Ltd Tbk</v>
      </c>
      <c r="C300" s="63" t="str">
        <f>C145</f>
        <v>MDLN</v>
      </c>
      <c r="D300" s="64">
        <f>D151/D150</f>
        <v>0.54568243824651352</v>
      </c>
      <c r="E300" s="64">
        <f>E151/E150</f>
        <v>0.54928309352291171</v>
      </c>
      <c r="F300" s="64">
        <f>F151/F150</f>
        <v>0.55078629727449946</v>
      </c>
      <c r="G300" s="64">
        <f>G151/G150</f>
        <v>0.55037390115888696</v>
      </c>
      <c r="H300" s="64">
        <f>H151/H150</f>
        <v>0.58508195249393535</v>
      </c>
      <c r="I300" s="64">
        <f>I151/I150</f>
        <v>0.57354157975013143</v>
      </c>
      <c r="J300" s="64">
        <f>J151/J150</f>
        <v>0.62313372296514635</v>
      </c>
      <c r="K300" s="64">
        <f>K151/K150</f>
        <v>0.7158116465288622</v>
      </c>
      <c r="L300" s="64">
        <f>L151/L150</f>
        <v>0.73669024260205729</v>
      </c>
      <c r="M300" s="64">
        <f>M151/M150</f>
        <v>0.7459246552955443</v>
      </c>
      <c r="N300" s="64">
        <f>N151/N150</f>
        <v>0.74763792687359465</v>
      </c>
      <c r="O300" s="64">
        <f>O151/O150</f>
        <v>0.7122262441511199</v>
      </c>
      <c r="P300" s="64">
        <f>P151/P150</f>
        <v>0.70719869412827174</v>
      </c>
      <c r="Q300" s="64">
        <f>Q151/Q150</f>
        <v>0.66881818238739021</v>
      </c>
      <c r="R300" s="64">
        <f>R151/R150</f>
        <v>0.67606591171056829</v>
      </c>
      <c r="S300" s="64">
        <f>S151/S150</f>
        <v>0.68764934551212564</v>
      </c>
      <c r="T300" s="64">
        <f>T151/T150</f>
        <v>0.67608732136344141</v>
      </c>
      <c r="U300" s="64">
        <f>U151/U150</f>
        <v>0.68444427539860486</v>
      </c>
      <c r="V300" s="64">
        <f>V151/V150</f>
        <v>0.69361293463791607</v>
      </c>
      <c r="W300" s="64">
        <f>W151/W150</f>
        <v>0.69925887153798139</v>
      </c>
      <c r="X300" s="61"/>
    </row>
    <row r="301" spans="1:24" ht="17">
      <c r="A301" s="78">
        <v>25</v>
      </c>
      <c r="B301" s="63" t="str">
        <f>B152</f>
        <v>FKS Food Sejahtera Tbk PT</v>
      </c>
      <c r="C301" s="63" t="str">
        <f>C152</f>
        <v>AISA</v>
      </c>
      <c r="D301" s="64">
        <f>D157/D156</f>
        <v>2.9992986878289893</v>
      </c>
      <c r="E301" s="64">
        <f>E157/E156</f>
        <v>2.9992986878289893</v>
      </c>
      <c r="F301" s="64">
        <f>F157/F156</f>
        <v>3.0332117091203483</v>
      </c>
      <c r="G301" s="64">
        <f>G157/G156</f>
        <v>1.8870428889557114</v>
      </c>
      <c r="H301" s="64">
        <f>H157/H156</f>
        <v>1.6111224753182505</v>
      </c>
      <c r="I301" s="64">
        <f>I157/I156</f>
        <v>1.663099958977164</v>
      </c>
      <c r="J301" s="64">
        <f>J157/J156</f>
        <v>1.6507233723533405</v>
      </c>
      <c r="K301" s="64">
        <f>K157/K156</f>
        <v>0.58762888647947831</v>
      </c>
      <c r="L301" s="64">
        <f>L157/L156</f>
        <v>0.57468843241874845</v>
      </c>
      <c r="M301" s="64">
        <f>M157/M156</f>
        <v>0.56701979039400363</v>
      </c>
      <c r="N301" s="64">
        <f>N157/N156</f>
        <v>0.56717818884585669</v>
      </c>
      <c r="O301" s="64">
        <f>O157/O156</f>
        <v>0.53515315894220938</v>
      </c>
      <c r="P301" s="64">
        <f>P157/P156</f>
        <v>0.5504817424592171</v>
      </c>
      <c r="Q301" s="64">
        <f>Q157/Q156</f>
        <v>0.55346152522292758</v>
      </c>
      <c r="R301" s="64">
        <f>R157/R156</f>
        <v>0.55130472618729576</v>
      </c>
      <c r="S301" s="64">
        <f>S157/S156</f>
        <v>0.57341528184630552</v>
      </c>
      <c r="T301" s="64">
        <f>T157/T156</f>
        <v>0.5619592641966914</v>
      </c>
      <c r="U301" s="64">
        <f>U157/U156</f>
        <v>0.55354212422486371</v>
      </c>
      <c r="V301" s="64">
        <f>V157/V156</f>
        <v>0.54330862025634585</v>
      </c>
      <c r="W301" s="64">
        <f>W157/W156</f>
        <v>0.47665086129543505</v>
      </c>
      <c r="X301" s="61"/>
    </row>
    <row r="302" spans="1:24" ht="17">
      <c r="A302" s="78">
        <v>26</v>
      </c>
      <c r="B302" s="63" t="str">
        <f>B158</f>
        <v>Indosat Tbk</v>
      </c>
      <c r="C302" s="63" t="str">
        <f>C158</f>
        <v>ISAT</v>
      </c>
      <c r="D302" s="64">
        <f>D163/D162</f>
        <v>0.78680760273003747</v>
      </c>
      <c r="E302" s="64">
        <f>E163/E162</f>
        <v>0.7892112618994751</v>
      </c>
      <c r="F302" s="64">
        <f>F163/F162</f>
        <v>0.81342102080330347</v>
      </c>
      <c r="G302" s="64">
        <f>G163/G162</f>
        <v>0.78177776893318263</v>
      </c>
      <c r="H302" s="64">
        <f>H163/H162</f>
        <v>0.78410530154487157</v>
      </c>
      <c r="I302" s="64">
        <f>I163/I162</f>
        <v>0.78084266441386407</v>
      </c>
      <c r="J302" s="64">
        <f>J163/J162</f>
        <v>0.78512898884852111</v>
      </c>
      <c r="K302" s="64">
        <f>K163/K162</f>
        <v>0.79430303953217285</v>
      </c>
      <c r="L302" s="64">
        <f>L163/L162</f>
        <v>0.79096772835344309</v>
      </c>
      <c r="M302" s="64">
        <f>M163/M162</f>
        <v>0.7364192590877594</v>
      </c>
      <c r="N302" s="64">
        <f>N163/N162</f>
        <v>0.74601386144340787</v>
      </c>
      <c r="O302" s="64">
        <f>O163/O162</f>
        <v>0.85519135655755363</v>
      </c>
      <c r="P302" s="64">
        <f>P163/P162</f>
        <v>0.74489160274124666</v>
      </c>
      <c r="Q302" s="64">
        <f>Q163/Q162</f>
        <v>0.71008528269652316</v>
      </c>
      <c r="R302" s="64">
        <f>R163/R162</f>
        <v>0.73473918835981289</v>
      </c>
      <c r="S302" s="64">
        <f>S163/S162</f>
        <v>0.75062768050205919</v>
      </c>
      <c r="T302" s="64">
        <f>T163/T162</f>
        <v>0.74542056652914157</v>
      </c>
      <c r="U302" s="64">
        <f>U163/U162</f>
        <v>0.74375234813922542</v>
      </c>
      <c r="V302" s="64">
        <f>V163/V162</f>
        <v>0.74117831636761788</v>
      </c>
      <c r="W302" s="64">
        <f>W163/W162</f>
        <v>0.70617040466143577</v>
      </c>
      <c r="X302" s="61"/>
    </row>
    <row r="303" spans="1:24" ht="17">
      <c r="A303" s="78">
        <v>27</v>
      </c>
      <c r="B303" s="63" t="str">
        <f>B164</f>
        <v>Krakatau Steel Persero Tbk</v>
      </c>
      <c r="C303" s="63" t="str">
        <f>C164</f>
        <v>KRAS</v>
      </c>
      <c r="D303" s="64">
        <f>D169/D168</f>
        <v>0.58118198793109299</v>
      </c>
      <c r="E303" s="64">
        <f t="shared" ref="E303:W303" si="32">E169/E168</f>
        <v>0.57697240511706183</v>
      </c>
      <c r="F303" s="64">
        <f t="shared" si="32"/>
        <v>0.60223951836985279</v>
      </c>
      <c r="G303" s="64">
        <f t="shared" si="32"/>
        <v>0.62152743843698777</v>
      </c>
      <c r="H303" s="64">
        <f t="shared" si="32"/>
        <v>0.89168299245175209</v>
      </c>
      <c r="I303" s="64">
        <f t="shared" si="32"/>
        <v>0.93197235256790767</v>
      </c>
      <c r="J303" s="64">
        <f t="shared" si="32"/>
        <v>0.85820976566389617</v>
      </c>
      <c r="K303" s="64">
        <f t="shared" si="32"/>
        <v>0.87182225363344024</v>
      </c>
      <c r="L303" s="64">
        <f t="shared" si="32"/>
        <v>0.87129142836818685</v>
      </c>
      <c r="M303" s="64">
        <f t="shared" si="32"/>
        <v>0.85282360361095699</v>
      </c>
      <c r="N303" s="64">
        <f t="shared" si="32"/>
        <v>0.88609770708260915</v>
      </c>
      <c r="O303" s="64">
        <f t="shared" si="32"/>
        <v>0.8757406235330798</v>
      </c>
      <c r="P303" s="64">
        <f t="shared" si="32"/>
        <v>0.84980639567360849</v>
      </c>
      <c r="Q303" s="64">
        <f t="shared" si="32"/>
        <v>0.85784570134313554</v>
      </c>
      <c r="R303" s="64">
        <f t="shared" si="32"/>
        <v>0.84909421127534845</v>
      </c>
      <c r="S303" s="64">
        <f t="shared" si="32"/>
        <v>0.83884858100829462</v>
      </c>
      <c r="T303" s="64">
        <f t="shared" si="32"/>
        <v>0.81205457568442541</v>
      </c>
      <c r="U303" s="64">
        <f t="shared" si="32"/>
        <v>0.80805933002740749</v>
      </c>
      <c r="V303" s="64">
        <f t="shared" si="32"/>
        <v>0.80576099765603515</v>
      </c>
      <c r="W303" s="64">
        <f t="shared" si="32"/>
        <v>0.81328286760992818</v>
      </c>
      <c r="X303" s="61"/>
    </row>
    <row r="304" spans="1:24" ht="17">
      <c r="A304" s="78">
        <v>28</v>
      </c>
      <c r="B304" s="63" t="str">
        <f>B170</f>
        <v>Bakrie Sumatera Plantations</v>
      </c>
      <c r="C304" s="63" t="str">
        <f>C170</f>
        <v>UNSP</v>
      </c>
      <c r="D304" s="64">
        <f>D175/D174</f>
        <v>1.1052050365624837</v>
      </c>
      <c r="E304" s="64">
        <f t="shared" ref="E304:W304" si="33">E175/E174</f>
        <v>1.1125598218405344</v>
      </c>
      <c r="F304" s="64">
        <f t="shared" si="33"/>
        <v>1.1224716928577541</v>
      </c>
      <c r="G304" s="64">
        <f t="shared" si="33"/>
        <v>1.6483929140740645</v>
      </c>
      <c r="H304" s="64">
        <f t="shared" si="33"/>
        <v>1.8604526947307687</v>
      </c>
      <c r="I304" s="64">
        <f t="shared" si="33"/>
        <v>1.7026874779097021</v>
      </c>
      <c r="J304" s="64">
        <f t="shared" si="33"/>
        <v>1.7571662622192743</v>
      </c>
      <c r="K304" s="64">
        <f t="shared" si="33"/>
        <v>1.9253399840814984</v>
      </c>
      <c r="L304" s="64">
        <f t="shared" si="33"/>
        <v>1.7890613288480133</v>
      </c>
      <c r="M304" s="64">
        <f t="shared" si="33"/>
        <v>1.766481726472076</v>
      </c>
      <c r="N304" s="64">
        <f t="shared" si="33"/>
        <v>1.7338350724697769</v>
      </c>
      <c r="O304" s="64">
        <f t="shared" si="33"/>
        <v>1.834645503391251</v>
      </c>
      <c r="P304" s="64">
        <f t="shared" si="33"/>
        <v>1.8336603609794213</v>
      </c>
      <c r="Q304" s="64">
        <f t="shared" si="33"/>
        <v>1.9389467387022752</v>
      </c>
      <c r="R304" s="64">
        <f t="shared" si="33"/>
        <v>1.7766060394923382</v>
      </c>
      <c r="S304" s="64">
        <f t="shared" si="33"/>
        <v>2.206711139479268</v>
      </c>
      <c r="T304" s="64">
        <f t="shared" si="33"/>
        <v>2.1384778876454273</v>
      </c>
      <c r="U304" s="64">
        <f t="shared" si="33"/>
        <v>2.1441070349921754</v>
      </c>
      <c r="V304" s="64">
        <f t="shared" si="33"/>
        <v>2.228843054760322</v>
      </c>
      <c r="W304" s="64">
        <f t="shared" si="33"/>
        <v>2.3011464507179711</v>
      </c>
      <c r="X304" s="61"/>
    </row>
    <row r="305" spans="1:24" ht="17">
      <c r="A305" s="78">
        <v>29</v>
      </c>
      <c r="B305" s="63" t="str">
        <f>B233</f>
        <v>Multipolar Tbk</v>
      </c>
      <c r="C305" s="63" t="str">
        <f>C233</f>
        <v>MLPL</v>
      </c>
      <c r="D305" s="64">
        <f>D181/D180</f>
        <v>0.64773118517843631</v>
      </c>
      <c r="E305" s="64">
        <f t="shared" ref="E305:W305" si="34">E181/E180</f>
        <v>0.64459075246930375</v>
      </c>
      <c r="F305" s="64">
        <f t="shared" si="34"/>
        <v>0.66266135887520272</v>
      </c>
      <c r="G305" s="64">
        <f t="shared" si="34"/>
        <v>0.64693363621355982</v>
      </c>
      <c r="H305" s="64">
        <f t="shared" si="34"/>
        <v>0.69322027030053868</v>
      </c>
      <c r="I305" s="64">
        <f t="shared" si="34"/>
        <v>0.70915491122246765</v>
      </c>
      <c r="J305" s="64">
        <f t="shared" si="34"/>
        <v>0.71795403120062717</v>
      </c>
      <c r="K305" s="64">
        <f t="shared" si="34"/>
        <v>0.78525061779423388</v>
      </c>
      <c r="L305" s="64">
        <f t="shared" si="34"/>
        <v>0.80853544146096612</v>
      </c>
      <c r="M305" s="64">
        <f t="shared" si="34"/>
        <v>0.74413286266863499</v>
      </c>
      <c r="N305" s="64">
        <f t="shared" si="34"/>
        <v>0.73384522330126833</v>
      </c>
      <c r="O305" s="64">
        <f t="shared" si="34"/>
        <v>0.73745610302511699</v>
      </c>
      <c r="P305" s="64">
        <f t="shared" si="34"/>
        <v>0.68690139391964389</v>
      </c>
      <c r="Q305" s="64">
        <f t="shared" si="34"/>
        <v>0.66002455481627209</v>
      </c>
      <c r="R305" s="64">
        <f t="shared" si="34"/>
        <v>0.67695843647901832</v>
      </c>
      <c r="S305" s="64">
        <f t="shared" si="34"/>
        <v>0.66926226898682006</v>
      </c>
      <c r="T305" s="64">
        <f t="shared" si="34"/>
        <v>0.69268067427679925</v>
      </c>
      <c r="U305" s="64">
        <f t="shared" si="34"/>
        <v>0.68051320666151638</v>
      </c>
      <c r="V305" s="64">
        <f t="shared" si="34"/>
        <v>0.66696988782768241</v>
      </c>
      <c r="W305" s="64">
        <f t="shared" si="34"/>
        <v>0.64099831181651279</v>
      </c>
      <c r="X305" s="61"/>
    </row>
    <row r="306" spans="1:24" ht="17">
      <c r="A306" s="78">
        <v>30</v>
      </c>
      <c r="B306" s="63" t="str">
        <f>B182</f>
        <v>Visi Media Asia Tbk</v>
      </c>
      <c r="C306" s="63" t="str">
        <f>C182</f>
        <v>VIVA</v>
      </c>
      <c r="D306" s="64">
        <f>D187/D186</f>
        <v>0.78909498514446297</v>
      </c>
      <c r="E306" s="64">
        <f t="shared" ref="E306:W306" si="35">E187/E186</f>
        <v>0.80698139027716564</v>
      </c>
      <c r="F306" s="64">
        <f t="shared" si="35"/>
        <v>0.89020105876350519</v>
      </c>
      <c r="G306" s="64">
        <f t="shared" si="35"/>
        <v>0.84409045898303015</v>
      </c>
      <c r="H306" s="64">
        <f t="shared" si="35"/>
        <v>0.86600912114397022</v>
      </c>
      <c r="I306" s="64">
        <f t="shared" si="35"/>
        <v>0.98639084330957527</v>
      </c>
      <c r="J306" s="64">
        <f t="shared" si="35"/>
        <v>0.94843596391990281</v>
      </c>
      <c r="K306" s="64">
        <f t="shared" si="35"/>
        <v>1.0588538236409195</v>
      </c>
      <c r="L306" s="64">
        <f t="shared" si="35"/>
        <v>1.0413122242363257</v>
      </c>
      <c r="M306" s="64">
        <f t="shared" si="35"/>
        <v>0.99387786361888086</v>
      </c>
      <c r="N306" s="64">
        <f t="shared" si="35"/>
        <v>1.053944030679991</v>
      </c>
      <c r="O306" s="64">
        <f t="shared" si="35"/>
        <v>0.98855736221107693</v>
      </c>
      <c r="P306" s="64">
        <f t="shared" si="35"/>
        <v>1.1392936483017513</v>
      </c>
      <c r="Q306" s="64">
        <f t="shared" si="35"/>
        <v>1.1689654330096539</v>
      </c>
      <c r="R306" s="64">
        <f t="shared" si="35"/>
        <v>1.2238784964761666</v>
      </c>
      <c r="S306" s="64">
        <f t="shared" si="35"/>
        <v>1.1726148167042107</v>
      </c>
      <c r="T306" s="64">
        <f t="shared" si="35"/>
        <v>1.2469852729820095</v>
      </c>
      <c r="U306" s="64">
        <f t="shared" si="35"/>
        <v>1.195340488866613</v>
      </c>
      <c r="V306" s="64">
        <f t="shared" si="35"/>
        <v>1.2259345606100258</v>
      </c>
      <c r="W306" s="64">
        <f t="shared" si="35"/>
        <v>1.2721453743218065</v>
      </c>
      <c r="X306" s="61"/>
    </row>
    <row r="307" spans="1:24">
      <c r="B307" s="51"/>
      <c r="C307" s="5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</row>
    <row r="311" spans="1:24">
      <c r="A311" s="76">
        <v>1</v>
      </c>
      <c r="B311" s="45" t="s">
        <v>81</v>
      </c>
      <c r="C311" s="45" t="s">
        <v>62</v>
      </c>
    </row>
    <row r="312" spans="1:24">
      <c r="B312" s="45" t="s">
        <v>82</v>
      </c>
      <c r="C312" s="69" t="s">
        <v>61</v>
      </c>
      <c r="D312" s="70" t="s">
        <v>63</v>
      </c>
      <c r="F312" s="71" t="s">
        <v>77</v>
      </c>
      <c r="G312" s="47">
        <v>45383</v>
      </c>
    </row>
    <row r="313" spans="1:24">
      <c r="A313" s="76">
        <v>2</v>
      </c>
      <c r="B313" s="45" t="s">
        <v>83</v>
      </c>
      <c r="C313" s="72" t="s">
        <v>64</v>
      </c>
      <c r="D313" s="70" t="s">
        <v>65</v>
      </c>
      <c r="F313" s="45" t="s">
        <v>79</v>
      </c>
    </row>
    <row r="314" spans="1:24">
      <c r="C314" s="69" t="s">
        <v>66</v>
      </c>
      <c r="D314" s="70">
        <v>45017</v>
      </c>
      <c r="F314" s="45" t="s">
        <v>80</v>
      </c>
    </row>
    <row r="315" spans="1:24">
      <c r="C315" s="72" t="s">
        <v>67</v>
      </c>
      <c r="D315" s="70" t="s">
        <v>68</v>
      </c>
    </row>
    <row r="316" spans="1:24">
      <c r="C316" s="69" t="s">
        <v>69</v>
      </c>
      <c r="D316" s="70" t="s">
        <v>70</v>
      </c>
    </row>
    <row r="317" spans="1:24">
      <c r="C317" s="72" t="s">
        <v>71</v>
      </c>
      <c r="D317" s="70" t="s">
        <v>72</v>
      </c>
    </row>
    <row r="318" spans="1:24">
      <c r="C318" s="69" t="s">
        <v>75</v>
      </c>
      <c r="D318" s="45" t="s">
        <v>76</v>
      </c>
    </row>
    <row r="320" spans="1:24">
      <c r="C320" s="73"/>
    </row>
    <row r="321" spans="2:5">
      <c r="C321" s="69"/>
    </row>
    <row r="322" spans="2:5">
      <c r="C322" s="69"/>
    </row>
    <row r="323" spans="2:5">
      <c r="B323" s="45" t="s">
        <v>87</v>
      </c>
      <c r="C323" s="73" t="s">
        <v>86</v>
      </c>
    </row>
    <row r="325" spans="2:5">
      <c r="C325" s="73" t="s">
        <v>78</v>
      </c>
    </row>
    <row r="326" spans="2:5">
      <c r="C326" s="73" t="s">
        <v>73</v>
      </c>
    </row>
    <row r="328" spans="2:5">
      <c r="C328" s="73" t="s">
        <v>74</v>
      </c>
    </row>
    <row r="330" spans="2:5">
      <c r="C330" s="73" t="s">
        <v>84</v>
      </c>
      <c r="E330" s="45" t="s">
        <v>85</v>
      </c>
    </row>
    <row r="331" spans="2:5">
      <c r="C331" s="74" t="s">
        <v>170</v>
      </c>
    </row>
    <row r="335" spans="2:5">
      <c r="B335" s="45" t="s">
        <v>88</v>
      </c>
      <c r="C335" s="45" t="s">
        <v>89</v>
      </c>
    </row>
    <row r="336" spans="2:5">
      <c r="C336" s="45" t="s">
        <v>90</v>
      </c>
    </row>
  </sheetData>
  <mergeCells count="23">
    <mergeCell ref="C274:C276"/>
    <mergeCell ref="B274:B276"/>
    <mergeCell ref="A274:A276"/>
    <mergeCell ref="D239:G239"/>
    <mergeCell ref="H239:K239"/>
    <mergeCell ref="L239:O239"/>
    <mergeCell ref="P239:S239"/>
    <mergeCell ref="T239:W239"/>
    <mergeCell ref="D275:G275"/>
    <mergeCell ref="H275:K275"/>
    <mergeCell ref="L275:O275"/>
    <mergeCell ref="P275:S275"/>
    <mergeCell ref="T275:W275"/>
    <mergeCell ref="C1:F1"/>
    <mergeCell ref="G1:J1"/>
    <mergeCell ref="K1:N1"/>
    <mergeCell ref="O1:R1"/>
    <mergeCell ref="S1:V1"/>
    <mergeCell ref="D203:G203"/>
    <mergeCell ref="H203:K203"/>
    <mergeCell ref="L203:O203"/>
    <mergeCell ref="P203:S203"/>
    <mergeCell ref="T203:W203"/>
  </mergeCells>
  <phoneticPr fontId="17" type="noConversion"/>
  <hyperlinks>
    <hyperlink ref="C328" r:id="rId1" xr:uid="{B4BD692D-A7F1-1346-8095-C174C2145CD2}"/>
    <hyperlink ref="C326" r:id="rId2" xr:uid="{E28F47B5-5D00-2F4F-AEAB-2C4AAE14BED0}"/>
    <hyperlink ref="C325" r:id="rId3" xr:uid="{C664B8E4-2971-D74A-97B3-89212A7975D8}"/>
    <hyperlink ref="C330" r:id="rId4" xr:uid="{7A819794-3422-FC47-BE78-717436223001}"/>
    <hyperlink ref="C323" r:id="rId5" xr:uid="{7AE9B36D-AE1B-8B4A-900B-C8699E3F21CF}"/>
    <hyperlink ref="C331" r:id="rId6" xr:uid="{2946E84B-6DF9-6D46-8283-20F5373FB273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610E-31BF-8E42-B675-6668308F7D2E}">
  <dimension ref="A1:W104"/>
  <sheetViews>
    <sheetView workbookViewId="0">
      <selection activeCell="B124" sqref="B124:E124"/>
    </sheetView>
  </sheetViews>
  <sheetFormatPr baseColWidth="10" defaultRowHeight="16"/>
  <cols>
    <col min="2" max="2" width="20.1640625" bestFit="1" customWidth="1"/>
    <col min="3" max="3" width="25.33203125" customWidth="1"/>
  </cols>
  <sheetData>
    <row r="1" spans="1:6">
      <c r="B1" s="3"/>
      <c r="C1" s="17" t="s">
        <v>86</v>
      </c>
    </row>
    <row r="2" spans="1:6">
      <c r="B2" s="3"/>
      <c r="C2" s="17" t="s">
        <v>97</v>
      </c>
    </row>
    <row r="3" spans="1:6">
      <c r="B3" s="3" t="s">
        <v>93</v>
      </c>
      <c r="C3" t="s">
        <v>94</v>
      </c>
    </row>
    <row r="4" spans="1:6">
      <c r="A4">
        <v>1</v>
      </c>
      <c r="B4" s="3" t="s">
        <v>92</v>
      </c>
      <c r="C4" s="17" t="s">
        <v>96</v>
      </c>
    </row>
    <row r="5" spans="1:6">
      <c r="A5">
        <v>2</v>
      </c>
      <c r="B5" s="3" t="s">
        <v>91</v>
      </c>
      <c r="C5" s="17" t="s">
        <v>95</v>
      </c>
    </row>
    <row r="6" spans="1:6">
      <c r="A6">
        <v>3</v>
      </c>
      <c r="B6" s="3" t="s">
        <v>99</v>
      </c>
      <c r="C6" s="17" t="s">
        <v>98</v>
      </c>
      <c r="F6" t="s">
        <v>100</v>
      </c>
    </row>
    <row r="7" spans="1:6">
      <c r="A7">
        <v>4</v>
      </c>
      <c r="B7" s="3" t="s">
        <v>102</v>
      </c>
      <c r="C7" s="17" t="s">
        <v>101</v>
      </c>
    </row>
    <row r="8" spans="1:6">
      <c r="A8">
        <v>5</v>
      </c>
      <c r="B8" s="3" t="s">
        <v>104</v>
      </c>
      <c r="C8" s="17" t="s">
        <v>103</v>
      </c>
    </row>
    <row r="9" spans="1:6">
      <c r="A9">
        <v>6</v>
      </c>
    </row>
    <row r="10" spans="1:6">
      <c r="A10">
        <v>7</v>
      </c>
    </row>
    <row r="11" spans="1:6">
      <c r="A11">
        <v>8</v>
      </c>
    </row>
    <row r="12" spans="1:6">
      <c r="A12">
        <v>9</v>
      </c>
    </row>
    <row r="13" spans="1:6">
      <c r="A13">
        <v>10</v>
      </c>
    </row>
    <row r="14" spans="1:6">
      <c r="A14">
        <v>11</v>
      </c>
    </row>
    <row r="15" spans="1:6">
      <c r="C15" s="17" t="s">
        <v>105</v>
      </c>
    </row>
    <row r="16" spans="1:6">
      <c r="C16" s="17" t="s">
        <v>106</v>
      </c>
    </row>
    <row r="17" spans="2:3">
      <c r="C17" s="17" t="s">
        <v>137</v>
      </c>
    </row>
    <row r="20" spans="2:3">
      <c r="B20" t="s">
        <v>182</v>
      </c>
      <c r="C20" s="17" t="s">
        <v>181</v>
      </c>
    </row>
    <row r="21" spans="2:3">
      <c r="B21" t="s">
        <v>192</v>
      </c>
      <c r="C21" s="17" t="s">
        <v>191</v>
      </c>
    </row>
    <row r="104" spans="23:23" ht="17" thickBot="1">
      <c r="W104" s="233"/>
    </row>
  </sheetData>
  <dataValidations count="1">
    <dataValidation type="decimal" allowBlank="1" showErrorMessage="1" errorTitle="Invalid Data Type" error="Please input data in Numeric Data Type" sqref="W104" xr:uid="{71EFB385-4F44-3441-8563-5E82E9A9A510}">
      <formula1>-9.99999999999999E+33</formula1>
      <formula2>9.99999999999999E+33</formula2>
    </dataValidation>
  </dataValidations>
  <hyperlinks>
    <hyperlink ref="C5" r:id="rId1" location="ie56c9a92322a446ab09b275bd8219049_118" xr:uid="{70E8AFAD-B5CB-7747-BC4B-B869BD9650E3}"/>
    <hyperlink ref="C1" r:id="rId2" xr:uid="{34D28368-42C6-3D43-9E2D-007C6D1A4BF7}"/>
    <hyperlink ref="C4" r:id="rId3" xr:uid="{4DEB5958-92D6-404B-9F45-1FF84B1FF6D0}"/>
    <hyperlink ref="C2" r:id="rId4" xr:uid="{DFABF78A-AE19-734F-83B2-E3886D8A5EC5}"/>
    <hyperlink ref="C6" r:id="rId5" xr:uid="{377B71F4-FB06-0641-9955-072AE38D5CAE}"/>
    <hyperlink ref="C7" r:id="rId6" xr:uid="{F1F1E41B-1DF7-3743-B9AD-66F79379AF92}"/>
    <hyperlink ref="C8" r:id="rId7" xr:uid="{1553F6ED-850B-6D4D-81DB-D9FA09042B8E}"/>
    <hyperlink ref="C15" r:id="rId8" xr:uid="{1EF5B7E7-33FA-4949-BC31-308D66FFA7A2}"/>
    <hyperlink ref="C16" r:id="rId9" xr:uid="{B055FA92-2B55-A444-ACD7-DE96D34E4C84}"/>
    <hyperlink ref="C17" r:id="rId10" xr:uid="{A36525B0-F8D2-6041-96D0-C4EC32BF5110}"/>
    <hyperlink ref="C20" r:id="rId11" xr:uid="{609EA907-A7A0-4E4E-A285-CD33EF608A0B}"/>
    <hyperlink ref="C21" r:id="rId12" xr:uid="{20980C7B-9DE6-2F41-9FE1-59745C56E6C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AD7B-B120-624E-A535-FA6F45849354}">
  <dimension ref="A2:BI49"/>
  <sheetViews>
    <sheetView workbookViewId="0">
      <selection activeCell="X35" sqref="X35"/>
    </sheetView>
  </sheetViews>
  <sheetFormatPr baseColWidth="10" defaultRowHeight="16"/>
  <cols>
    <col min="1" max="16384" width="10.83203125" style="81"/>
  </cols>
  <sheetData>
    <row r="2" spans="2:61" s="82" customFormat="1">
      <c r="B2" s="83">
        <v>1.0266575439571217</v>
      </c>
      <c r="C2" s="83">
        <v>1.2443467465685274</v>
      </c>
      <c r="D2" s="83">
        <v>1.2443467465685274</v>
      </c>
      <c r="E2" s="83">
        <v>1.2065316093207819</v>
      </c>
      <c r="F2" s="83">
        <v>1.3402355102947019</v>
      </c>
      <c r="G2" s="83">
        <v>1.3402355102947019</v>
      </c>
      <c r="H2" s="83">
        <v>1.5404198870224792</v>
      </c>
      <c r="I2" s="83">
        <v>1.5770248017352133</v>
      </c>
      <c r="J2" s="83">
        <v>1.8033659554133226</v>
      </c>
      <c r="K2" s="83">
        <v>1.6020219442147861</v>
      </c>
      <c r="L2" s="83">
        <v>1.6043630395354844</v>
      </c>
      <c r="M2" s="83">
        <v>1.6016808311280986</v>
      </c>
      <c r="N2" s="83">
        <v>2.3415318762229385</v>
      </c>
      <c r="O2" s="83">
        <v>2.3415318762229385</v>
      </c>
      <c r="P2" s="83">
        <v>1.8354238622565315</v>
      </c>
      <c r="Q2" s="83">
        <v>1.2452316166193158</v>
      </c>
      <c r="R2" s="83">
        <v>1.4469960261653065</v>
      </c>
      <c r="S2" s="83">
        <v>1.4256064816348186</v>
      </c>
      <c r="T2" s="83">
        <v>1.1815403972806753</v>
      </c>
      <c r="U2" s="83">
        <v>1.3793163757236377</v>
      </c>
      <c r="V2" s="83">
        <v>0.42313245660344373</v>
      </c>
      <c r="W2" s="83">
        <v>0.41751665873363453</v>
      </c>
      <c r="X2" s="83">
        <v>0.40060573517972992</v>
      </c>
      <c r="Y2" s="83">
        <v>0.44427937852128763</v>
      </c>
      <c r="Z2" s="83">
        <v>0.37742953098481447</v>
      </c>
      <c r="AA2" s="83">
        <v>0.31999908090207407</v>
      </c>
      <c r="AB2" s="83">
        <v>0.25990225206440076</v>
      </c>
      <c r="AC2" s="83">
        <v>0.33387791428578634</v>
      </c>
      <c r="AD2" s="83">
        <v>0.30091448845578822</v>
      </c>
      <c r="AE2" s="83">
        <v>0.47908301431791328</v>
      </c>
      <c r="AF2" s="83">
        <v>0.63332103678186968</v>
      </c>
      <c r="AG2" s="83">
        <v>0.59235216026956483</v>
      </c>
      <c r="AH2" s="83">
        <v>0.28020026652162022</v>
      </c>
      <c r="AI2" s="83">
        <v>0.73199781731524771</v>
      </c>
      <c r="AJ2" s="83">
        <v>0.71464589087503794</v>
      </c>
      <c r="AK2" s="83">
        <v>0.75495399779920602</v>
      </c>
      <c r="AL2" s="83">
        <v>0.57908033886985932</v>
      </c>
      <c r="AM2" s="83">
        <v>0.66636124374131656</v>
      </c>
      <c r="AN2" s="83">
        <v>0.5834148924995165</v>
      </c>
      <c r="AO2" s="83">
        <v>0.68016197238168763</v>
      </c>
      <c r="AP2" s="83">
        <v>0.39842601674603695</v>
      </c>
      <c r="AQ2" s="83">
        <v>0.35574871310878575</v>
      </c>
      <c r="AR2" s="83">
        <v>0.35574871310878575</v>
      </c>
      <c r="AS2" s="83">
        <v>0.32057825393837464</v>
      </c>
      <c r="AT2" s="83">
        <v>0.30254515729035353</v>
      </c>
      <c r="AU2" s="83">
        <v>0.30254515729035353</v>
      </c>
      <c r="AV2" s="83">
        <v>0.26846826452581113</v>
      </c>
      <c r="AW2" s="83">
        <v>0.27708163953969095</v>
      </c>
      <c r="AX2" s="83">
        <v>0.2710761897184959</v>
      </c>
      <c r="AY2" s="83">
        <v>0.32934921914839349</v>
      </c>
      <c r="AZ2" s="83">
        <v>0.36760414469541353</v>
      </c>
      <c r="BA2" s="83">
        <v>0.41970456240863302</v>
      </c>
      <c r="BB2" s="83">
        <v>0.27112010859720831</v>
      </c>
      <c r="BC2" s="83">
        <v>0.27112010859720831</v>
      </c>
      <c r="BD2" s="83">
        <v>0.34034700529033168</v>
      </c>
      <c r="BE2" s="83">
        <v>0.4553834101338663</v>
      </c>
      <c r="BF2" s="83">
        <v>0.43191422014607611</v>
      </c>
      <c r="BG2" s="83">
        <v>0.44726328790545911</v>
      </c>
      <c r="BH2" s="83">
        <v>0.49862565226405164</v>
      </c>
      <c r="BI2" s="83">
        <v>0.406339220983578</v>
      </c>
    </row>
    <row r="3" spans="2:61" s="82" customFormat="1">
      <c r="B3" s="83">
        <v>5.0203186505349082</v>
      </c>
      <c r="C3" s="83">
        <v>5.6427181367397621</v>
      </c>
      <c r="D3" s="83">
        <v>4.1975077653043797</v>
      </c>
      <c r="E3" s="83">
        <v>4.1975077653043797</v>
      </c>
      <c r="F3" s="83">
        <v>5.0312441147544416</v>
      </c>
      <c r="G3" s="83">
        <v>5.5004475486096593</v>
      </c>
      <c r="H3" s="83">
        <v>5.8874120693771852</v>
      </c>
      <c r="I3" s="83">
        <v>3.6641490028444244</v>
      </c>
      <c r="J3" s="83">
        <v>2.197236841974378</v>
      </c>
      <c r="K3" s="83">
        <v>5.1192821297950202</v>
      </c>
      <c r="L3" s="83">
        <v>3.6404954542154231</v>
      </c>
      <c r="M3" s="83">
        <v>4.1310837918913403</v>
      </c>
      <c r="N3" s="83">
        <v>2.1419516357968251</v>
      </c>
      <c r="O3" s="83">
        <v>6.2134805774878226</v>
      </c>
      <c r="P3" s="83">
        <v>6.8660795464076632</v>
      </c>
      <c r="Q3" s="83">
        <v>4.0555403587112417</v>
      </c>
      <c r="R3" s="83">
        <v>2.211476510948549</v>
      </c>
      <c r="S3" s="83">
        <v>6.6293676753270914</v>
      </c>
      <c r="T3" s="83">
        <v>6.2460492750283896</v>
      </c>
      <c r="U3" s="83">
        <v>4.4737314899595004</v>
      </c>
      <c r="V3" s="83">
        <v>5.817570841612405E-4</v>
      </c>
      <c r="W3" s="83">
        <v>0.42985406907085477</v>
      </c>
      <c r="X3" s="83">
        <v>0.20414856595317768</v>
      </c>
      <c r="Y3" s="83">
        <v>0.26599032116495075</v>
      </c>
      <c r="Z3" s="83">
        <v>0.1955855433141428</v>
      </c>
      <c r="AA3" s="83">
        <v>0.21166218901153525</v>
      </c>
      <c r="AB3" s="83">
        <v>0.21558038638095389</v>
      </c>
      <c r="AC3" s="83">
        <v>0.28007079331531548</v>
      </c>
      <c r="AD3" s="83">
        <v>0.19798668520227847</v>
      </c>
      <c r="AE3" s="83">
        <v>0.23986565698701179</v>
      </c>
      <c r="AF3" s="83">
        <v>0.30722710555587968</v>
      </c>
      <c r="AG3" s="83">
        <v>0.30586118845801269</v>
      </c>
      <c r="AH3" s="83">
        <v>0.20526068314002618</v>
      </c>
      <c r="AI3" s="83">
        <v>0.20448282145967561</v>
      </c>
      <c r="AJ3" s="83">
        <v>0.25915546378395049</v>
      </c>
      <c r="AK3" s="83">
        <v>0.30669283062211838</v>
      </c>
      <c r="AL3" s="83">
        <v>0.21500658786505777</v>
      </c>
      <c r="AM3" s="83">
        <v>0.46369637842786227</v>
      </c>
      <c r="AN3" s="83">
        <v>0.62926240650533904</v>
      </c>
      <c r="AO3" s="83">
        <v>0.91652517563650404</v>
      </c>
      <c r="AP3" s="83">
        <v>0.10771537771202308</v>
      </c>
      <c r="AQ3" s="83">
        <v>9.3005630507033019E-2</v>
      </c>
      <c r="AR3" s="83">
        <v>1.317020804593891E-2</v>
      </c>
      <c r="AS3" s="83">
        <v>1.317020804593891E-2</v>
      </c>
      <c r="AT3" s="83">
        <v>0.11769350620429155</v>
      </c>
      <c r="AU3" s="83">
        <v>0.10641963056659444</v>
      </c>
      <c r="AV3" s="83">
        <v>0.10675522007301845</v>
      </c>
      <c r="AW3" s="83">
        <v>0.16307920268418161</v>
      </c>
      <c r="AX3" s="83">
        <v>0.26895826517852756</v>
      </c>
      <c r="AY3" s="83">
        <v>1.1916106068715321E-2</v>
      </c>
      <c r="AZ3" s="83">
        <v>0.16084925906356679</v>
      </c>
      <c r="BA3" s="83">
        <v>0.14691310085844822</v>
      </c>
      <c r="BB3" s="83">
        <v>0.27968033628984112</v>
      </c>
      <c r="BC3" s="83">
        <v>9.4242721019074105E-2</v>
      </c>
      <c r="BD3" s="83">
        <v>8.8016483702706566E-2</v>
      </c>
      <c r="BE3" s="83">
        <v>0.1411185066454454</v>
      </c>
      <c r="BF3" s="83">
        <v>0.26133207579362444</v>
      </c>
      <c r="BG3" s="83">
        <v>8.4224368401352011E-3</v>
      </c>
      <c r="BH3" s="83">
        <v>9.2061877895912761E-2</v>
      </c>
      <c r="BI3" s="83">
        <v>0.12973609416902743</v>
      </c>
    </row>
    <row r="4" spans="2:61" s="82" customFormat="1">
      <c r="B4" s="83">
        <v>1.6844639243108814</v>
      </c>
      <c r="C4" s="83">
        <v>2.5621816569893801</v>
      </c>
      <c r="D4" s="83">
        <v>2.8435212464698401</v>
      </c>
      <c r="E4" s="83">
        <v>2.852957797502842</v>
      </c>
      <c r="F4" s="83">
        <v>3.0181271707874293</v>
      </c>
      <c r="G4" s="83">
        <v>3.4067370194926689</v>
      </c>
      <c r="H4" s="83">
        <v>3.086633512088119</v>
      </c>
      <c r="I4" s="83">
        <v>2.4050435658572842</v>
      </c>
      <c r="J4" s="83">
        <v>2.3817609130482964</v>
      </c>
      <c r="K4" s="83">
        <v>4.2241256006395362</v>
      </c>
      <c r="L4" s="83">
        <v>4.0205800048983429</v>
      </c>
      <c r="M4" s="83">
        <v>4.1648527073455508</v>
      </c>
      <c r="N4" s="83">
        <v>4.1231352455394141</v>
      </c>
      <c r="O4" s="83">
        <v>5.1877577737707918</v>
      </c>
      <c r="P4" s="83">
        <v>4.6837225997371306</v>
      </c>
      <c r="Q4" s="83">
        <v>4.8528735034640125</v>
      </c>
      <c r="R4" s="83">
        <v>5.4110424968717554</v>
      </c>
      <c r="S4" s="83">
        <v>6.5234163880549154</v>
      </c>
      <c r="T4" s="83">
        <v>6.5709955311279131</v>
      </c>
      <c r="U4" s="83">
        <v>6.954331055585155</v>
      </c>
      <c r="V4" s="83">
        <v>0.30636789568328193</v>
      </c>
      <c r="W4" s="83">
        <v>0.306846765398534</v>
      </c>
      <c r="X4" s="83">
        <v>0.3379130547095871</v>
      </c>
      <c r="Y4" s="83">
        <v>0.31989973092628482</v>
      </c>
      <c r="Z4" s="83">
        <v>0.30446959821583003</v>
      </c>
      <c r="AA4" s="83">
        <v>0.27493455450593263</v>
      </c>
      <c r="AB4" s="83">
        <v>0.30767820358249243</v>
      </c>
      <c r="AC4" s="83">
        <v>0.29815370129616309</v>
      </c>
      <c r="AD4" s="83">
        <v>0.27461620765970096</v>
      </c>
      <c r="AE4" s="83">
        <v>0.26018556172106128</v>
      </c>
      <c r="AF4" s="83">
        <v>0.30214646163769909</v>
      </c>
      <c r="AG4" s="83">
        <v>0.30536173089969854</v>
      </c>
      <c r="AH4" s="83">
        <v>0.28555651616979344</v>
      </c>
      <c r="AI4" s="83">
        <v>0.25867100927197129</v>
      </c>
      <c r="AJ4" s="83">
        <v>0.30546546541518427</v>
      </c>
      <c r="AK4" s="83">
        <v>0.29544246934113089</v>
      </c>
      <c r="AL4" s="83">
        <v>0.25926658209626213</v>
      </c>
      <c r="AM4" s="83">
        <v>0.22164549279955423</v>
      </c>
      <c r="AN4" s="83">
        <v>0.24441240500463488</v>
      </c>
      <c r="AO4" s="83">
        <v>0.20869696918733238</v>
      </c>
      <c r="AP4" s="83">
        <v>0.3673980820792826</v>
      </c>
      <c r="AQ4" s="83">
        <v>0.26760452934583173</v>
      </c>
      <c r="AR4" s="83">
        <v>0.26674966117552029</v>
      </c>
      <c r="AS4" s="83">
        <v>0.25456880679059607</v>
      </c>
      <c r="AT4" s="83">
        <v>0.25137570079363081</v>
      </c>
      <c r="AU4" s="83">
        <v>0.22194405117930002</v>
      </c>
      <c r="AV4" s="83">
        <v>0.23739519005670884</v>
      </c>
      <c r="AW4" s="83">
        <v>0.22490518173271573</v>
      </c>
      <c r="AX4" s="83">
        <v>0.24234843550152285</v>
      </c>
      <c r="AY4" s="83">
        <v>0.1492091931548174</v>
      </c>
      <c r="AZ4" s="83">
        <v>0.16155572974814045</v>
      </c>
      <c r="BA4" s="83">
        <v>0.15778428470352843</v>
      </c>
      <c r="BB4" s="83">
        <v>0.16314304913239042</v>
      </c>
      <c r="BC4" s="83">
        <v>0.13598102949936125</v>
      </c>
      <c r="BD4" s="83">
        <v>0.15103419850231742</v>
      </c>
      <c r="BE4" s="83">
        <v>0.14427725948019768</v>
      </c>
      <c r="BF4" s="83">
        <v>0.1352437566728821</v>
      </c>
      <c r="BG4" s="83">
        <v>0.11824068155782254</v>
      </c>
      <c r="BH4" s="83">
        <v>0.12004426090306712</v>
      </c>
      <c r="BI4" s="83">
        <v>0.11577820029891261</v>
      </c>
    </row>
    <row r="5" spans="2:61" s="82" customFormat="1">
      <c r="B5" s="83">
        <v>1.4338779383153126</v>
      </c>
      <c r="C5" s="83">
        <v>1.4522267206477699</v>
      </c>
      <c r="D5" s="83">
        <v>2.0042125451649913</v>
      </c>
      <c r="E5" s="83">
        <v>2.0042125451649913</v>
      </c>
      <c r="F5" s="83">
        <v>2.0443751679656001</v>
      </c>
      <c r="G5" s="83">
        <v>0.27097061377584158</v>
      </c>
      <c r="H5" s="83">
        <v>2.7107309846766352</v>
      </c>
      <c r="I5" s="83">
        <v>2.9703746479333621</v>
      </c>
      <c r="J5" s="83">
        <v>3.1228920303131247</v>
      </c>
      <c r="K5" s="83">
        <v>3.0076796628887541</v>
      </c>
      <c r="L5" s="83">
        <v>2.9114714967705702</v>
      </c>
      <c r="M5" s="83">
        <v>2.509228034743467</v>
      </c>
      <c r="N5" s="83">
        <v>2.806097443247217</v>
      </c>
      <c r="O5" s="83">
        <v>3.052444277954673</v>
      </c>
      <c r="P5" s="83">
        <v>3.4222205693672252</v>
      </c>
      <c r="Q5" s="83">
        <v>3.2008566302474493</v>
      </c>
      <c r="R5" s="83">
        <v>3.2633091228350226</v>
      </c>
      <c r="S5" s="83">
        <v>3.7988057536922484</v>
      </c>
      <c r="T5" s="83">
        <v>4.3433946436338777</v>
      </c>
      <c r="U5" s="83">
        <v>4.1166411212326066</v>
      </c>
      <c r="V5" s="83">
        <v>2.2080605354364902E-2</v>
      </c>
      <c r="W5" s="83">
        <v>0.44315632270931049</v>
      </c>
      <c r="X5" s="83">
        <v>0.25891594467244261</v>
      </c>
      <c r="Y5" s="83">
        <v>0.26545797233622132</v>
      </c>
      <c r="Z5" s="83">
        <v>0.23521471058280613</v>
      </c>
      <c r="AA5" s="83">
        <v>0.14777659752619812</v>
      </c>
      <c r="AB5" s="83">
        <v>0.18588261192345146</v>
      </c>
      <c r="AC5" s="83">
        <v>0.19605941232239352</v>
      </c>
      <c r="AD5" s="83">
        <v>1.8217984556796987E-2</v>
      </c>
      <c r="AE5" s="83">
        <v>0.33485809394278671</v>
      </c>
      <c r="AF5" s="83">
        <v>0.20976530103412355</v>
      </c>
      <c r="AG5" s="83">
        <v>0.24461317620933234</v>
      </c>
      <c r="AH5" s="83">
        <v>0.21309806165199538</v>
      </c>
      <c r="AI5" s="83">
        <v>0.21019635530597364</v>
      </c>
      <c r="AJ5" s="83">
        <v>0.20807829966024327</v>
      </c>
      <c r="AK5" s="83">
        <v>0.22289925388099774</v>
      </c>
      <c r="AL5" s="83">
        <v>0.21304283656757816</v>
      </c>
      <c r="AM5" s="83">
        <v>0.19200214373296451</v>
      </c>
      <c r="AN5" s="83">
        <v>0.18778116391166827</v>
      </c>
      <c r="AO5" s="83">
        <v>0.20603189553717613</v>
      </c>
      <c r="AP5" s="83">
        <v>0.4233288253589152</v>
      </c>
      <c r="AQ5" s="83">
        <v>0.40849244746463786</v>
      </c>
      <c r="AR5" s="83">
        <v>0.30939413284693723</v>
      </c>
      <c r="AS5" s="83">
        <v>0.30939413284693723</v>
      </c>
      <c r="AT5" s="83">
        <v>0.30358662657096658</v>
      </c>
      <c r="AU5" s="83">
        <v>0.25698056333448643</v>
      </c>
      <c r="AV5" s="83">
        <v>0.27858525118406763</v>
      </c>
      <c r="AW5" s="83">
        <v>0.26938404720111059</v>
      </c>
      <c r="AX5" s="83">
        <v>0.26453638434755761</v>
      </c>
      <c r="AY5" s="83">
        <v>0.25759593781230977</v>
      </c>
      <c r="AZ5" s="83">
        <v>0.26606120152573037</v>
      </c>
      <c r="BA5" s="83">
        <v>0.25633689847773344</v>
      </c>
      <c r="BB5" s="83">
        <v>0.2429021990635965</v>
      </c>
      <c r="BC5" s="83">
        <v>0.23360078139453894</v>
      </c>
      <c r="BD5" s="83">
        <v>0.21513473558627486</v>
      </c>
      <c r="BE5" s="83">
        <v>0.18883653321438859</v>
      </c>
      <c r="BF5" s="83">
        <v>1.9460885683766121E-2</v>
      </c>
      <c r="BG5" s="83">
        <v>0.17703877937144233</v>
      </c>
      <c r="BH5" s="83">
        <v>0.16174377535950332</v>
      </c>
      <c r="BI5" s="83">
        <v>0.17042828875369154</v>
      </c>
    </row>
    <row r="6" spans="2:61" s="82" customFormat="1">
      <c r="B6" s="83">
        <v>4.0460018182695867</v>
      </c>
      <c r="C6" s="83">
        <v>4.7970309159480173</v>
      </c>
      <c r="D6" s="83">
        <v>4.7970309159480173</v>
      </c>
      <c r="E6" s="83">
        <v>4.6365158112022762</v>
      </c>
      <c r="F6" s="83">
        <v>3.9877185518209441</v>
      </c>
      <c r="G6" s="83">
        <v>5.4170882704577465</v>
      </c>
      <c r="H6" s="83">
        <v>6.2719559953191437</v>
      </c>
      <c r="I6" s="83">
        <v>5.7605976023614929</v>
      </c>
      <c r="J6" s="83">
        <v>4.425857930137262</v>
      </c>
      <c r="K6" s="83">
        <v>3.5449851361247497</v>
      </c>
      <c r="L6" s="83">
        <v>4.180826374480934</v>
      </c>
      <c r="M6" s="83">
        <v>4.1752773673887358</v>
      </c>
      <c r="N6" s="83">
        <v>4.3701215111998772</v>
      </c>
      <c r="O6" s="83">
        <v>4.3975284280461704</v>
      </c>
      <c r="P6" s="83">
        <v>3.8821503963401649</v>
      </c>
      <c r="Q6" s="83">
        <v>4.4302079919181256</v>
      </c>
      <c r="R6" s="83">
        <v>4.8853243258412027</v>
      </c>
      <c r="S6" s="83">
        <v>5.2099038429322899</v>
      </c>
      <c r="T6" s="83">
        <v>5.1227560349786598</v>
      </c>
      <c r="U6" s="83">
        <v>5.1741079455815928</v>
      </c>
      <c r="V6" s="83">
        <v>0.29966412758106264</v>
      </c>
      <c r="W6" s="83">
        <v>0.29593704325858483</v>
      </c>
      <c r="X6" s="83">
        <v>0.3402737602906894</v>
      </c>
      <c r="Y6" s="83">
        <v>0.3701750992362039</v>
      </c>
      <c r="Z6" s="83">
        <v>0.22945504220324933</v>
      </c>
      <c r="AA6" s="83">
        <v>0.19634297507772894</v>
      </c>
      <c r="AB6" s="83">
        <v>0.2590899096938038</v>
      </c>
      <c r="AC6" s="83">
        <v>0.27569925398293482</v>
      </c>
      <c r="AD6" s="83">
        <v>0.25827239540381258</v>
      </c>
      <c r="AE6" s="83">
        <v>0.25154374331728518</v>
      </c>
      <c r="AF6" s="83">
        <v>0.27294777299677569</v>
      </c>
      <c r="AG6" s="83">
        <v>0.29463185815363796</v>
      </c>
      <c r="AH6" s="83">
        <v>0.28779092387991362</v>
      </c>
      <c r="AI6" s="83">
        <v>0.26698512051310441</v>
      </c>
      <c r="AJ6" s="83">
        <v>0.30633820725164784</v>
      </c>
      <c r="AK6" s="83">
        <v>0.28427928085292253</v>
      </c>
      <c r="AL6" s="83">
        <v>0.27951176373492437</v>
      </c>
      <c r="AM6" s="83">
        <v>0.27550715185757302</v>
      </c>
      <c r="AN6" s="83">
        <v>0.2839695803708967</v>
      </c>
      <c r="AO6" s="83">
        <v>0.29222152783743438</v>
      </c>
      <c r="AP6" s="83">
        <v>0.2299341878429994</v>
      </c>
      <c r="AQ6" s="83">
        <v>0.20752080298183628</v>
      </c>
      <c r="AR6" s="83">
        <v>0.20752080298183628</v>
      </c>
      <c r="AS6" s="83">
        <v>0.21393050037962896</v>
      </c>
      <c r="AT6" s="83">
        <v>0.25650192336869393</v>
      </c>
      <c r="AU6" s="83">
        <v>0.21301841938840466</v>
      </c>
      <c r="AV6" s="83">
        <v>0.19826755634718787</v>
      </c>
      <c r="AW6" s="83">
        <v>0.21537858099745047</v>
      </c>
      <c r="AX6" s="83">
        <v>0.24499933116095832</v>
      </c>
      <c r="AY6" s="83">
        <v>0.29139468998119589</v>
      </c>
      <c r="AZ6" s="83">
        <v>0.25628893638778177</v>
      </c>
      <c r="BA6" s="83">
        <v>0.24741875000969277</v>
      </c>
      <c r="BB6" s="83">
        <v>0.23882109036676089</v>
      </c>
      <c r="BC6" s="83">
        <v>0.23739660305887333</v>
      </c>
      <c r="BD6" s="83">
        <v>0.26793839664044705</v>
      </c>
      <c r="BE6" s="83">
        <v>0.24215694803402246</v>
      </c>
      <c r="BF6" s="83">
        <v>0.22463721697458361</v>
      </c>
      <c r="BG6" s="83">
        <v>2.1488973841755812E-2</v>
      </c>
      <c r="BH6" s="83">
        <v>0.21488051167920155</v>
      </c>
      <c r="BI6" s="83">
        <v>2.0651426195677051E-2</v>
      </c>
    </row>
    <row r="7" spans="2:61" s="82" customFormat="1">
      <c r="B7" s="83">
        <v>1.5103436460630706</v>
      </c>
      <c r="C7" s="83">
        <v>1.4532367742243308</v>
      </c>
      <c r="D7" s="83">
        <v>1.4532367742243308</v>
      </c>
      <c r="E7" s="83">
        <v>1.4481190908098218</v>
      </c>
      <c r="F7" s="83">
        <v>1.3185493595399089</v>
      </c>
      <c r="G7" s="83">
        <v>1.6013875223204104</v>
      </c>
      <c r="H7" s="83">
        <v>1.9420306450001035</v>
      </c>
      <c r="I7" s="83">
        <v>1.2114653525146291</v>
      </c>
      <c r="J7" s="83">
        <v>1.2390800445491148</v>
      </c>
      <c r="K7" s="83">
        <v>1.2610907552636632</v>
      </c>
      <c r="L7" s="83">
        <v>1.2502389400463969</v>
      </c>
      <c r="M7" s="83">
        <v>1.7871774628210515</v>
      </c>
      <c r="N7" s="83">
        <v>1.645015456211655</v>
      </c>
      <c r="O7" s="83">
        <v>1.645015456211655</v>
      </c>
      <c r="P7" s="83">
        <v>1.6800163075679297</v>
      </c>
      <c r="Q7" s="83">
        <v>1.9583792585715669</v>
      </c>
      <c r="R7" s="83">
        <v>2.0749879983647102</v>
      </c>
      <c r="S7" s="83">
        <v>1.5435155580490365</v>
      </c>
      <c r="T7" s="83">
        <v>1.7107821659022102</v>
      </c>
      <c r="U7" s="83">
        <v>2.3394958747452321</v>
      </c>
      <c r="V7" s="83">
        <v>0.18509682715788536</v>
      </c>
      <c r="W7" s="83">
        <v>0.99429704919272099</v>
      </c>
      <c r="X7" s="83">
        <v>0.30963190246798655</v>
      </c>
      <c r="Y7" s="83">
        <v>0.2709531776335658</v>
      </c>
      <c r="Z7" s="83">
        <v>0.1690718692496726</v>
      </c>
      <c r="AA7" s="83">
        <v>0.13397032515430898</v>
      </c>
      <c r="AB7" s="83">
        <v>0.28447220389594058</v>
      </c>
      <c r="AC7" s="83">
        <v>0.29420937832261651</v>
      </c>
      <c r="AD7" s="83">
        <v>0.28174542189575891</v>
      </c>
      <c r="AE7" s="83">
        <v>0.24975182858987913</v>
      </c>
      <c r="AF7" s="83">
        <v>0.2763063417110902</v>
      </c>
      <c r="AG7" s="83">
        <v>0.36363118242793491</v>
      </c>
      <c r="AH7" s="83">
        <v>0.30216794295818306</v>
      </c>
      <c r="AI7" s="83">
        <v>0.27981940742689931</v>
      </c>
      <c r="AJ7" s="83">
        <v>0.441255944798157</v>
      </c>
      <c r="AK7" s="83">
        <v>0.36409764038230091</v>
      </c>
      <c r="AL7" s="83">
        <v>0.33186734601486745</v>
      </c>
      <c r="AM7" s="83">
        <v>0.27682522091956852</v>
      </c>
      <c r="AN7" s="83">
        <v>0.26022039500713362</v>
      </c>
      <c r="AO7" s="83">
        <v>0.23683543163853799</v>
      </c>
      <c r="AP7" s="83">
        <v>0.40742503800634738</v>
      </c>
      <c r="AQ7" s="83">
        <v>0.68811911295993233</v>
      </c>
      <c r="AR7" s="83">
        <v>0.38913849257069649</v>
      </c>
      <c r="AS7" s="83">
        <v>0.39945438480734519</v>
      </c>
      <c r="AT7" s="83">
        <v>0.41422099859107941</v>
      </c>
      <c r="AU7" s="83">
        <v>0.39721304868524376</v>
      </c>
      <c r="AV7" s="83">
        <v>0.38887019401895812</v>
      </c>
      <c r="AW7" s="83">
        <v>0.39994510473404066</v>
      </c>
      <c r="AX7" s="83">
        <v>0.39433521161779223</v>
      </c>
      <c r="AY7" s="83">
        <v>0.38571585009957515</v>
      </c>
      <c r="AZ7" s="83">
        <v>0.38908803468885572</v>
      </c>
      <c r="BA7" s="83">
        <v>0.36696437864520864</v>
      </c>
      <c r="BB7" s="83">
        <v>0.33433720410127876</v>
      </c>
      <c r="BC7" s="83">
        <v>0.33433720410127876</v>
      </c>
      <c r="BD7" s="83">
        <v>0.33214069909541938</v>
      </c>
      <c r="BE7" s="83">
        <v>0.29506588093903335</v>
      </c>
      <c r="BF7" s="83">
        <v>0.27485185428927456</v>
      </c>
      <c r="BG7" s="83">
        <v>0.34899767838611401</v>
      </c>
      <c r="BH7" s="83">
        <v>0.30657313208846976</v>
      </c>
      <c r="BI7" s="83">
        <v>0.27270237056124913</v>
      </c>
    </row>
    <row r="8" spans="2:61" s="82" customFormat="1">
      <c r="B8" s="83">
        <v>1.503069361334922</v>
      </c>
      <c r="C8" s="83">
        <v>1.503069361334922</v>
      </c>
      <c r="D8" s="83">
        <v>1.9198531105336747</v>
      </c>
      <c r="E8" s="83">
        <v>1.9198531105336747</v>
      </c>
      <c r="F8" s="83">
        <v>1.8098560254349043</v>
      </c>
      <c r="G8" s="83">
        <v>1.6011670384621144</v>
      </c>
      <c r="H8" s="83">
        <v>1.8665615242319982</v>
      </c>
      <c r="I8" s="83">
        <v>2.0257260009647853</v>
      </c>
      <c r="J8" s="83">
        <v>2.231054733597738</v>
      </c>
      <c r="K8" s="83">
        <v>1.9814050906118696</v>
      </c>
      <c r="L8" s="83">
        <v>2.1992631921118213</v>
      </c>
      <c r="M8" s="83">
        <v>2.7088223763033148</v>
      </c>
      <c r="N8" s="83">
        <v>3.200611362970891</v>
      </c>
      <c r="O8" s="83">
        <v>3.200611362970891</v>
      </c>
      <c r="P8" s="83">
        <v>3.9192502550828854</v>
      </c>
      <c r="Q8" s="83">
        <v>3.2590550414693662</v>
      </c>
      <c r="R8" s="83">
        <v>1.9878609505337717</v>
      </c>
      <c r="S8" s="83">
        <v>4.3787676253719114</v>
      </c>
      <c r="T8" s="83">
        <v>3.7010951489128447</v>
      </c>
      <c r="U8" s="83">
        <v>4.3495483493852252</v>
      </c>
      <c r="V8" s="83">
        <v>0.30828303311988348</v>
      </c>
      <c r="W8" s="83">
        <v>0.29919905274547298</v>
      </c>
      <c r="X8" s="83">
        <v>0.31495432891284392</v>
      </c>
      <c r="Y8" s="83">
        <v>0.31398595358982923</v>
      </c>
      <c r="Z8" s="83">
        <v>0.29528166524904653</v>
      </c>
      <c r="AA8" s="83">
        <v>0.2333626605093162</v>
      </c>
      <c r="AB8" s="83">
        <v>0.18584214063944898</v>
      </c>
      <c r="AC8" s="83">
        <v>0.27053698811267457</v>
      </c>
      <c r="AD8" s="83">
        <v>2.3658060128960733E-2</v>
      </c>
      <c r="AE8" s="83">
        <v>0.49284443365934588</v>
      </c>
      <c r="AF8" s="83">
        <v>0.42864089246912929</v>
      </c>
      <c r="AG8" s="83">
        <v>0.45219683370752933</v>
      </c>
      <c r="AH8" s="83">
        <v>0.32422026994163422</v>
      </c>
      <c r="AI8" s="83">
        <v>0.39599951361867702</v>
      </c>
      <c r="AJ8" s="83">
        <v>0.47905967914266984</v>
      </c>
      <c r="AK8" s="83">
        <v>0.38625251261563143</v>
      </c>
      <c r="AL8" s="83">
        <v>0.24692045440630192</v>
      </c>
      <c r="AM8" s="83">
        <v>0.27552042617449213</v>
      </c>
      <c r="AN8" s="83">
        <v>0.24547180233924498</v>
      </c>
      <c r="AO8" s="83">
        <v>0.25031594988132166</v>
      </c>
      <c r="AP8" s="83">
        <v>0.41958339854781523</v>
      </c>
      <c r="AQ8" s="83">
        <v>0.41958339854781523</v>
      </c>
      <c r="AR8" s="83">
        <v>0.30346222839441539</v>
      </c>
      <c r="AS8" s="83">
        <v>0.30346222839441539</v>
      </c>
      <c r="AT8" s="83">
        <v>0.30189498420711997</v>
      </c>
      <c r="AU8" s="83">
        <v>0.29857316913370341</v>
      </c>
      <c r="AV8" s="83">
        <v>0.26813765418966146</v>
      </c>
      <c r="AW8" s="83">
        <v>0.26957637000282231</v>
      </c>
      <c r="AX8" s="83">
        <v>0.26453097130053577</v>
      </c>
      <c r="AY8" s="83">
        <v>0.31049521098518074</v>
      </c>
      <c r="AZ8" s="83">
        <v>0.31243640362499336</v>
      </c>
      <c r="BA8" s="83">
        <v>2.7887956049522308E-2</v>
      </c>
      <c r="BB8" s="83">
        <v>0.24918784452010376</v>
      </c>
      <c r="BC8" s="83">
        <v>0.24918784452010376</v>
      </c>
      <c r="BD8" s="83">
        <v>0.22146412455823483</v>
      </c>
      <c r="BE8" s="83">
        <v>0.26130710175870786</v>
      </c>
      <c r="BF8" s="83">
        <v>0.39975998956977482</v>
      </c>
      <c r="BG8" s="83">
        <v>0.19349243332828933</v>
      </c>
      <c r="BH8" s="83">
        <v>0.21348484023505071</v>
      </c>
      <c r="BI8" s="83">
        <v>0.1825113913358658</v>
      </c>
    </row>
    <row r="9" spans="2:61" s="82" customFormat="1">
      <c r="B9" s="83">
        <v>2.8560292868545685</v>
      </c>
      <c r="C9" s="83">
        <v>2.3964572738149679</v>
      </c>
      <c r="D9" s="83">
        <v>2.3964572738149679</v>
      </c>
      <c r="E9" s="83">
        <v>2.4897162825011923</v>
      </c>
      <c r="F9" s="83">
        <v>2.6817891208568776</v>
      </c>
      <c r="G9" s="83">
        <v>1.5241023854899125</v>
      </c>
      <c r="H9" s="83">
        <v>2.1370975603686557</v>
      </c>
      <c r="I9" s="83">
        <v>2.1599609756802982</v>
      </c>
      <c r="J9" s="83">
        <v>2.1912231350976485</v>
      </c>
      <c r="K9" s="83">
        <v>1.8645019222488886</v>
      </c>
      <c r="L9" s="83">
        <v>2.3350965465944373</v>
      </c>
      <c r="M9" s="83">
        <v>2.4279905453489548</v>
      </c>
      <c r="N9" s="83">
        <v>2.6296006673642438</v>
      </c>
      <c r="O9" s="83">
        <v>1.9974222594890743</v>
      </c>
      <c r="P9" s="83">
        <v>2.245680895299587</v>
      </c>
      <c r="Q9" s="83">
        <v>2.282998529216635</v>
      </c>
      <c r="R9" s="83">
        <v>2.2906515419019273</v>
      </c>
      <c r="S9" s="83">
        <v>1.1491598545600941</v>
      </c>
      <c r="T9" s="83">
        <v>1.3812025697402532</v>
      </c>
      <c r="U9" s="83">
        <v>1.5196832375594911</v>
      </c>
      <c r="V9" s="83">
        <v>0.21496896826442488</v>
      </c>
      <c r="W9" s="83">
        <v>0.20918574391859646</v>
      </c>
      <c r="X9" s="83">
        <v>0.22349730438270707</v>
      </c>
      <c r="Y9" s="83">
        <v>0.21202774061451024</v>
      </c>
      <c r="Z9" s="83">
        <v>0.18473659791518618</v>
      </c>
      <c r="AA9" s="83">
        <v>0.14464932415427809</v>
      </c>
      <c r="AB9" s="83">
        <v>0.15655265367180154</v>
      </c>
      <c r="AC9" s="83">
        <v>0.18607359970203796</v>
      </c>
      <c r="AD9" s="83">
        <v>0.16288425606652293</v>
      </c>
      <c r="AE9" s="83">
        <v>0.23282233432750984</v>
      </c>
      <c r="AF9" s="83">
        <v>0.28239099329815598</v>
      </c>
      <c r="AG9" s="83">
        <v>0.27349491274468735</v>
      </c>
      <c r="AH9" s="83">
        <v>0.2104432600798524</v>
      </c>
      <c r="AI9" s="83">
        <v>0.28451941809156372</v>
      </c>
      <c r="AJ9" s="83">
        <v>0.30685993880171308</v>
      </c>
      <c r="AK9" s="83">
        <v>0.25524542349252272</v>
      </c>
      <c r="AL9" s="83">
        <v>0.21470298406729299</v>
      </c>
      <c r="AM9" s="83">
        <v>0.19230760755321896</v>
      </c>
      <c r="AN9" s="83">
        <v>0.24660918416167418</v>
      </c>
      <c r="AO9" s="83">
        <v>0.27734310801373885</v>
      </c>
      <c r="AP9" s="83">
        <v>0.29277771764981392</v>
      </c>
      <c r="AQ9" s="83">
        <v>0.31298204072499142</v>
      </c>
      <c r="AR9" s="83">
        <v>0.31298204072499142</v>
      </c>
      <c r="AS9" s="83">
        <v>0.29409191153424019</v>
      </c>
      <c r="AT9" s="83">
        <v>0.28139793494914911</v>
      </c>
      <c r="AU9" s="83">
        <v>0.40627099096076053</v>
      </c>
      <c r="AV9" s="83">
        <v>0.3234366531848889</v>
      </c>
      <c r="AW9" s="83">
        <v>0.295865298540888</v>
      </c>
      <c r="AX9" s="83">
        <v>0.28379455110743396</v>
      </c>
      <c r="AY9" s="83">
        <v>0.35261050185101417</v>
      </c>
      <c r="AZ9" s="83">
        <v>0.34690946018065838</v>
      </c>
      <c r="BA9" s="83">
        <v>0.32859253105917741</v>
      </c>
      <c r="BB9" s="83">
        <v>0.31976476956737504</v>
      </c>
      <c r="BC9" s="83">
        <v>0.36778928323567694</v>
      </c>
      <c r="BD9" s="83">
        <v>0.35864687831478592</v>
      </c>
      <c r="BE9" s="83">
        <v>0.3625098869122646</v>
      </c>
      <c r="BF9" s="83">
        <v>0.35952501601033288</v>
      </c>
      <c r="BG9" s="83">
        <v>0.39894755717250102</v>
      </c>
      <c r="BH9" s="83">
        <v>0.4604103513614507</v>
      </c>
      <c r="BI9" s="83">
        <v>0.44374846205444785</v>
      </c>
    </row>
    <row r="10" spans="2:61" s="82" customFormat="1">
      <c r="B10" s="83">
        <v>4.2707123145004537</v>
      </c>
      <c r="C10" s="83">
        <v>4.0104077779714178</v>
      </c>
      <c r="D10" s="83">
        <v>4.3438334199575053</v>
      </c>
      <c r="E10" s="83">
        <v>4.3546826400661676</v>
      </c>
      <c r="F10" s="83">
        <v>3.2924403271841758</v>
      </c>
      <c r="G10" s="83">
        <v>3.2673643906521792</v>
      </c>
      <c r="H10" s="83">
        <v>3.8331558341069667</v>
      </c>
      <c r="I10" s="83">
        <v>4.1159769553526786</v>
      </c>
      <c r="J10" s="83">
        <v>4.0173744370256985</v>
      </c>
      <c r="K10" s="83">
        <v>4.3605065330288468</v>
      </c>
      <c r="L10" s="83">
        <v>4.337664838863069</v>
      </c>
      <c r="M10" s="83">
        <v>4.445187625075941</v>
      </c>
      <c r="N10" s="83">
        <v>4.1773445768816337</v>
      </c>
      <c r="O10" s="83">
        <v>4.0820573780529745</v>
      </c>
      <c r="P10" s="83">
        <v>3.7969533838885248</v>
      </c>
      <c r="Q10" s="83">
        <v>3.7711768296281614</v>
      </c>
      <c r="R10" s="83">
        <v>3.8095771252730719</v>
      </c>
      <c r="S10" s="83">
        <v>3.3453882678739411</v>
      </c>
      <c r="T10" s="83">
        <v>3.9047103495593976</v>
      </c>
      <c r="U10" s="83">
        <v>4.90807797385939</v>
      </c>
      <c r="V10" s="83">
        <v>0.27977635806161449</v>
      </c>
      <c r="W10" s="83">
        <v>0.30899578634850616</v>
      </c>
      <c r="X10" s="83">
        <v>0.28825973676550881</v>
      </c>
      <c r="Y10" s="83">
        <v>0.28654068195600535</v>
      </c>
      <c r="Z10" s="83">
        <v>0.26186394004896091</v>
      </c>
      <c r="AA10" s="83">
        <v>0.26295197371856133</v>
      </c>
      <c r="AB10" s="83">
        <v>0.24459661413091185</v>
      </c>
      <c r="AC10" s="83">
        <v>0.26665205878372339</v>
      </c>
      <c r="AD10" s="83">
        <v>0.25136100669877331</v>
      </c>
      <c r="AE10" s="83">
        <v>0.27149516382864808</v>
      </c>
      <c r="AF10" s="83">
        <v>0.27726255485098028</v>
      </c>
      <c r="AG10" s="83">
        <v>0.2790587619206884</v>
      </c>
      <c r="AH10" s="83">
        <v>0.26117991908032989</v>
      </c>
      <c r="AI10" s="83">
        <v>0.27149531394780796</v>
      </c>
      <c r="AJ10" s="83">
        <v>0.27903699118609476</v>
      </c>
      <c r="AK10" s="83">
        <v>0.284557943557943</v>
      </c>
      <c r="AL10" s="83">
        <v>0.27865614007525491</v>
      </c>
      <c r="AM10" s="83">
        <v>0.26658949792647263</v>
      </c>
      <c r="AN10" s="83">
        <v>0.27158197879211987</v>
      </c>
      <c r="AO10" s="83">
        <v>0.29153128657723937</v>
      </c>
      <c r="AP10" s="83">
        <v>0.17313011441099804</v>
      </c>
      <c r="AQ10" s="83">
        <v>0.18690177382286668</v>
      </c>
      <c r="AR10" s="83">
        <v>0.17648529156896023</v>
      </c>
      <c r="AS10" s="83">
        <v>0.17563248745900767</v>
      </c>
      <c r="AT10" s="83">
        <v>0.22030489869000699</v>
      </c>
      <c r="AU10" s="83">
        <v>0.2222809696853251</v>
      </c>
      <c r="AV10" s="83">
        <v>0.20257607759270524</v>
      </c>
      <c r="AW10" s="83">
        <v>0.19004436711880532</v>
      </c>
      <c r="AX10" s="83">
        <v>0.18703296279879442</v>
      </c>
      <c r="AY10" s="83">
        <v>0.17475904153810706</v>
      </c>
      <c r="AZ10" s="83">
        <v>0.1761682309187457</v>
      </c>
      <c r="BA10" s="83">
        <v>0.17145828957921605</v>
      </c>
      <c r="BB10" s="83">
        <v>0.18299745121580691</v>
      </c>
      <c r="BC10" s="83">
        <v>0.17945098638849291</v>
      </c>
      <c r="BD10" s="83">
        <v>0.19239716847515895</v>
      </c>
      <c r="BE10" s="83">
        <v>0.18883028209532232</v>
      </c>
      <c r="BF10" s="83">
        <v>0.18833389632869182</v>
      </c>
      <c r="BG10" s="83">
        <v>0.20579966815154185</v>
      </c>
      <c r="BH10" s="83">
        <v>0.17688430684838555</v>
      </c>
      <c r="BI10" s="83">
        <v>0.14552476207675016</v>
      </c>
    </row>
    <row r="11" spans="2:61" s="82" customFormat="1">
      <c r="B11" s="83">
        <v>2.3670057043472701</v>
      </c>
      <c r="C11" s="83">
        <v>2.6545082436675962</v>
      </c>
      <c r="D11" s="83">
        <v>2.6545082436675962</v>
      </c>
      <c r="E11" s="83">
        <v>2.8586751042539729</v>
      </c>
      <c r="F11" s="83">
        <v>2.4794554430458087</v>
      </c>
      <c r="G11" s="83">
        <v>2.4794554430458087</v>
      </c>
      <c r="H11" s="83">
        <v>2.7566481192543324</v>
      </c>
      <c r="I11" s="83">
        <v>1.9807750882208259</v>
      </c>
      <c r="J11" s="83">
        <v>1.9949973760160056</v>
      </c>
      <c r="K11" s="83">
        <v>2.6018642305274149</v>
      </c>
      <c r="L11" s="83">
        <v>2.9404308968935631</v>
      </c>
      <c r="M11" s="83">
        <v>3.7936776011618822</v>
      </c>
      <c r="N11" s="83">
        <v>4.4256380424000561</v>
      </c>
      <c r="O11" s="83">
        <v>4.4256380424000561</v>
      </c>
      <c r="P11" s="83">
        <v>4.6005971923466475</v>
      </c>
      <c r="Q11" s="83">
        <v>4.6529203649945305</v>
      </c>
      <c r="R11" s="83">
        <v>4.33513864896348</v>
      </c>
      <c r="S11" s="83">
        <v>4.2017457031461909</v>
      </c>
      <c r="T11" s="83">
        <v>4.6988637720424205</v>
      </c>
      <c r="U11" s="83">
        <v>5.1558849811126493</v>
      </c>
      <c r="V11" s="83">
        <v>6.7207471480202285E-2</v>
      </c>
      <c r="W11" s="83">
        <v>6.9923980888977708E-2</v>
      </c>
      <c r="X11" s="83">
        <v>6.7645326054412647E-2</v>
      </c>
      <c r="Y11" s="83">
        <v>7.5170531179353794E-2</v>
      </c>
      <c r="Z11" s="83">
        <v>6.2302995233043973E-2</v>
      </c>
      <c r="AA11" s="83">
        <v>1.2214780538337458E-2</v>
      </c>
      <c r="AB11" s="83">
        <v>4.1177631131964036E-2</v>
      </c>
      <c r="AC11" s="83">
        <v>3.5168787204915987E-2</v>
      </c>
      <c r="AD11" s="83">
        <v>4.1862806123718746E-2</v>
      </c>
      <c r="AE11" s="83">
        <v>4.6271655007460701E-2</v>
      </c>
      <c r="AF11" s="83">
        <v>4.6332241840129233E-2</v>
      </c>
      <c r="AG11" s="83">
        <v>6.6687446155136873E-2</v>
      </c>
      <c r="AH11" s="83">
        <v>4.398014498705085E-2</v>
      </c>
      <c r="AI11" s="83">
        <v>4.8573978971717204E-2</v>
      </c>
      <c r="AJ11" s="83">
        <v>5.8078544857691233E-2</v>
      </c>
      <c r="AK11" s="83">
        <v>4.8760203720645295E-2</v>
      </c>
      <c r="AL11" s="83">
        <v>4.4332101424041599E-2</v>
      </c>
      <c r="AM11" s="83">
        <v>4.7873288431929777E-2</v>
      </c>
      <c r="AN11" s="83">
        <v>5.2179728291551132E-2</v>
      </c>
      <c r="AO11" s="83">
        <v>4.9867331955288773E-2</v>
      </c>
      <c r="AP11" s="83">
        <v>0.36474198682874892</v>
      </c>
      <c r="AQ11" s="83">
        <v>0.32331618849571342</v>
      </c>
      <c r="AR11" s="83">
        <v>0.32331618849571342</v>
      </c>
      <c r="AS11" s="83">
        <v>0.30655157227293556</v>
      </c>
      <c r="AT11" s="83">
        <v>0.35704222137400399</v>
      </c>
      <c r="AU11" s="83">
        <v>0.35704222137400399</v>
      </c>
      <c r="AV11" s="83">
        <v>0.33818803192586017</v>
      </c>
      <c r="AW11" s="83">
        <v>0.3348643288975503</v>
      </c>
      <c r="AX11" s="83">
        <v>0.33040491267287325</v>
      </c>
      <c r="AY11" s="83">
        <v>0.37575661226567802</v>
      </c>
      <c r="AZ11" s="83">
        <v>0.35832284614878096</v>
      </c>
      <c r="BA11" s="83">
        <v>0.33560643811353436</v>
      </c>
      <c r="BB11" s="83">
        <v>0.32579063773181866</v>
      </c>
      <c r="BC11" s="83">
        <v>0.32579063773181866</v>
      </c>
      <c r="BD11" s="83">
        <v>0.32469059040633563</v>
      </c>
      <c r="BE11" s="83">
        <v>0.32298038676102003</v>
      </c>
      <c r="BF11" s="83">
        <v>0.31562298143594447</v>
      </c>
      <c r="BG11" s="83">
        <v>0.31394529516323672</v>
      </c>
      <c r="BH11" s="83">
        <v>0.30919673766921713</v>
      </c>
      <c r="BI11" s="83">
        <v>0.30312485670715056</v>
      </c>
    </row>
    <row r="12" spans="2:61" s="82" customFormat="1">
      <c r="B12" s="83">
        <v>4.42500651268276</v>
      </c>
      <c r="C12" s="83">
        <v>3.7884094719629928</v>
      </c>
      <c r="D12" s="83">
        <v>3.5756505941368681</v>
      </c>
      <c r="E12" s="83">
        <v>3.5990283716844522</v>
      </c>
      <c r="F12" s="83">
        <v>3.4900040693949284</v>
      </c>
      <c r="G12" s="83">
        <v>4.0779386824337802</v>
      </c>
      <c r="H12" s="83">
        <v>3.596269930948309</v>
      </c>
      <c r="I12" s="83">
        <v>2.3397726731315798</v>
      </c>
      <c r="J12" s="83">
        <v>2.4530191368082419</v>
      </c>
      <c r="K12" s="83">
        <v>2.9554595277699893</v>
      </c>
      <c r="L12" s="83">
        <v>2.807085595383791</v>
      </c>
      <c r="M12" s="83">
        <v>3.9231721075139583</v>
      </c>
      <c r="N12" s="83">
        <v>4.0146423590829876</v>
      </c>
      <c r="O12" s="83">
        <v>4.3056578672168317</v>
      </c>
      <c r="P12" s="83">
        <v>4.3056578672168317</v>
      </c>
      <c r="Q12" s="83">
        <v>3.6626138550254912</v>
      </c>
      <c r="R12" s="83">
        <v>4.1043270879139557</v>
      </c>
      <c r="S12" s="83">
        <v>3.3139347344341945</v>
      </c>
      <c r="T12" s="83">
        <v>3.6075250417641338</v>
      </c>
      <c r="U12" s="83">
        <v>3.2600571985808298</v>
      </c>
      <c r="V12" s="83">
        <v>0.19047958246754312</v>
      </c>
      <c r="W12" s="83">
        <v>0.21960972592967123</v>
      </c>
      <c r="X12" s="83">
        <v>0.19384877031986711</v>
      </c>
      <c r="Y12" s="83">
        <v>0.20516922133805809</v>
      </c>
      <c r="Z12" s="83">
        <v>0.18147324903839779</v>
      </c>
      <c r="AA12" s="83">
        <v>0.15568403968149494</v>
      </c>
      <c r="AB12" s="83">
        <v>0.17756340011055935</v>
      </c>
      <c r="AC12" s="83">
        <v>0.22405746680802302</v>
      </c>
      <c r="AD12" s="83">
        <v>0.20463933927647762</v>
      </c>
      <c r="AE12" s="83">
        <v>0.22271541014788199</v>
      </c>
      <c r="AF12" s="83">
        <v>0.20656728340018204</v>
      </c>
      <c r="AG12" s="83">
        <v>0.15529717296536241</v>
      </c>
      <c r="AH12" s="83">
        <v>0.1512861252713881</v>
      </c>
      <c r="AI12" s="83">
        <v>0.14340069771577443</v>
      </c>
      <c r="AJ12" s="83">
        <v>0.15742330656639192</v>
      </c>
      <c r="AK12" s="83">
        <v>0.19898965213359404</v>
      </c>
      <c r="AL12" s="83">
        <v>0.14377143781499313</v>
      </c>
      <c r="AM12" s="83">
        <v>0.14240286168490757</v>
      </c>
      <c r="AN12" s="83">
        <v>0.16726710596696831</v>
      </c>
      <c r="AO12" s="83">
        <v>0.15587771152327609</v>
      </c>
      <c r="AP12" s="83">
        <v>0.16833417022927408</v>
      </c>
      <c r="AQ12" s="83">
        <v>0.18580372286871652</v>
      </c>
      <c r="AR12" s="83">
        <v>0.18571435568794095</v>
      </c>
      <c r="AS12" s="83">
        <v>0.18284591307492287</v>
      </c>
      <c r="AT12" s="83">
        <v>0.19468629883241842</v>
      </c>
      <c r="AU12" s="83">
        <v>0.17007420322933317</v>
      </c>
      <c r="AV12" s="83">
        <v>0.19148719246720575</v>
      </c>
      <c r="AW12" s="83">
        <v>0.42416992477357179</v>
      </c>
      <c r="AX12" s="83">
        <v>0.3825090670579338</v>
      </c>
      <c r="AY12" s="83">
        <v>0.32609920314907065</v>
      </c>
      <c r="AZ12" s="83">
        <v>0.28485219764833064</v>
      </c>
      <c r="BA12" s="83">
        <v>0.24736761508148669</v>
      </c>
      <c r="BB12" s="83">
        <v>0.23587791655912693</v>
      </c>
      <c r="BC12" s="83">
        <v>0.22167544137381134</v>
      </c>
      <c r="BD12" s="83">
        <v>0.22167544137381134</v>
      </c>
      <c r="BE12" s="83">
        <v>0.20529074684967888</v>
      </c>
      <c r="BF12" s="83">
        <v>0.18042336499709377</v>
      </c>
      <c r="BG12" s="83">
        <v>0.21712599677960084</v>
      </c>
      <c r="BH12" s="83">
        <v>0.20002150460242957</v>
      </c>
      <c r="BI12" s="83">
        <v>0.23252050064857988</v>
      </c>
    </row>
    <row r="13" spans="2:61" s="82" customFormat="1">
      <c r="B13" s="83">
        <v>1.3274932820955005</v>
      </c>
      <c r="C13" s="83">
        <v>1.3976259392323043</v>
      </c>
      <c r="D13" s="83">
        <v>1.3976259392323043</v>
      </c>
      <c r="E13" s="83">
        <v>1.5598014382396554</v>
      </c>
      <c r="F13" s="83">
        <v>1.8062788134510168</v>
      </c>
      <c r="G13" s="83">
        <v>1.7525553740403848</v>
      </c>
      <c r="H13" s="83">
        <v>1.9776703983926434</v>
      </c>
      <c r="I13" s="83">
        <v>2.11020594901867</v>
      </c>
      <c r="J13" s="83">
        <v>1.9640762392780502</v>
      </c>
      <c r="K13" s="83">
        <v>1.9049352292734953</v>
      </c>
      <c r="L13" s="83">
        <v>1.9362936707996796</v>
      </c>
      <c r="M13" s="83">
        <v>1.9877212987227157</v>
      </c>
      <c r="N13" s="83">
        <v>2.0346397345058649</v>
      </c>
      <c r="O13" s="83">
        <v>1.9383426716717391</v>
      </c>
      <c r="P13" s="83">
        <v>1.7415247364778037</v>
      </c>
      <c r="Q13" s="83">
        <v>1.877614796461494</v>
      </c>
      <c r="R13" s="83">
        <v>1.7270266732074233</v>
      </c>
      <c r="S13" s="83">
        <v>1.3611912748220625</v>
      </c>
      <c r="T13" s="83">
        <v>1.1078475511068215</v>
      </c>
      <c r="U13" s="83">
        <v>1.4560776437749086</v>
      </c>
      <c r="V13" s="83">
        <v>0.1934690976191091</v>
      </c>
      <c r="W13" s="83">
        <v>0.17344037568029635</v>
      </c>
      <c r="X13" s="83">
        <v>0.18676829403285286</v>
      </c>
      <c r="Y13" s="83">
        <v>0.16848961908097396</v>
      </c>
      <c r="Z13" s="83">
        <v>0.15937892651989305</v>
      </c>
      <c r="AA13" s="83">
        <v>0.14275105236231811</v>
      </c>
      <c r="AB13" s="83">
        <v>0.12692097349644196</v>
      </c>
      <c r="AC13" s="83">
        <v>0.13907989044153812</v>
      </c>
      <c r="AD13" s="83">
        <v>0.16996314476831564</v>
      </c>
      <c r="AE13" s="83">
        <v>0.18166834011720659</v>
      </c>
      <c r="AF13" s="83">
        <v>0.18530287917006805</v>
      </c>
      <c r="AG13" s="83">
        <v>0.192234153611298</v>
      </c>
      <c r="AH13" s="83">
        <v>0.23297208398085703</v>
      </c>
      <c r="AI13" s="83">
        <v>0.25122878448133062</v>
      </c>
      <c r="AJ13" s="83">
        <v>0.22177545333186247</v>
      </c>
      <c r="AK13" s="83">
        <v>0.22832125150788499</v>
      </c>
      <c r="AL13" s="83">
        <v>0.23151001735607285</v>
      </c>
      <c r="AM13" s="83">
        <v>0.2512813510997281</v>
      </c>
      <c r="AN13" s="83">
        <v>0.18884910001284433</v>
      </c>
      <c r="AO13" s="83">
        <v>0.20116894402382607</v>
      </c>
      <c r="AP13" s="83">
        <v>0.48889075770700102</v>
      </c>
      <c r="AQ13" s="83">
        <v>0.48875027017783246</v>
      </c>
      <c r="AR13" s="83">
        <v>0.48875027017783246</v>
      </c>
      <c r="AS13" s="83">
        <v>0.45297441779017061</v>
      </c>
      <c r="AT13" s="83">
        <v>0.42216982866432828</v>
      </c>
      <c r="AU13" s="83">
        <v>0.40911100668131201</v>
      </c>
      <c r="AV13" s="83">
        <v>0.38764824855312929</v>
      </c>
      <c r="AW13" s="83">
        <v>0.36726923166062037</v>
      </c>
      <c r="AX13" s="83">
        <v>0.36331896397079028</v>
      </c>
      <c r="AY13" s="83">
        <v>0.36688754903668624</v>
      </c>
      <c r="AZ13" s="83">
        <v>0.37245531158015482</v>
      </c>
      <c r="BA13" s="83">
        <v>0.36192349175324434</v>
      </c>
      <c r="BB13" s="83">
        <v>0.35783437807273127</v>
      </c>
      <c r="BC13" s="83">
        <v>0.36580655183351157</v>
      </c>
      <c r="BD13" s="83">
        <v>0.40234350902699983</v>
      </c>
      <c r="BE13" s="83">
        <v>0.36279214671142618</v>
      </c>
      <c r="BF13" s="83">
        <v>0.39154795522385621</v>
      </c>
      <c r="BG13" s="83">
        <v>0.43611889758997607</v>
      </c>
      <c r="BH13" s="83">
        <v>0.48566664727285452</v>
      </c>
      <c r="BI13" s="83">
        <v>0.45441460192418731</v>
      </c>
    </row>
    <row r="14" spans="2:61" s="82" customFormat="1">
      <c r="B14" s="83">
        <v>3.7242627473016663</v>
      </c>
      <c r="C14" s="83">
        <v>4.3336914927708348</v>
      </c>
      <c r="D14" s="83">
        <v>4.3336914927708348</v>
      </c>
      <c r="E14" s="83">
        <v>4.3083440740523757</v>
      </c>
      <c r="F14" s="83">
        <v>5.3779355187286324</v>
      </c>
      <c r="G14" s="83">
        <v>4.9734998477002739</v>
      </c>
      <c r="H14" s="83">
        <v>0.47716037034920272</v>
      </c>
      <c r="I14" s="83">
        <v>4.33060792732251</v>
      </c>
      <c r="J14" s="83">
        <v>4.7325179740530992</v>
      </c>
      <c r="K14" s="83">
        <v>4.5796706744647206</v>
      </c>
      <c r="L14" s="83">
        <v>5.0004768864886291</v>
      </c>
      <c r="M14" s="83">
        <v>4.9669061331116797</v>
      </c>
      <c r="N14" s="83">
        <v>5.1850537981177984</v>
      </c>
      <c r="O14" s="83">
        <v>5.6767905393550198</v>
      </c>
      <c r="P14" s="83">
        <v>5.2701197968706541</v>
      </c>
      <c r="Q14" s="83">
        <v>5.6547512268694407</v>
      </c>
      <c r="R14" s="83">
        <v>5.2931089049133071</v>
      </c>
      <c r="S14" s="83">
        <v>5.2898729230662687</v>
      </c>
      <c r="T14" s="83">
        <v>4.9766402287565432</v>
      </c>
      <c r="U14" s="83">
        <v>4.7669141362174532</v>
      </c>
      <c r="V14" s="83">
        <v>5.9096288789710551E-2</v>
      </c>
      <c r="W14" s="83">
        <v>7.8602557988951591E-2</v>
      </c>
      <c r="X14" s="83">
        <v>0.10153979899754743</v>
      </c>
      <c r="Y14" s="83">
        <v>0.12397196547603623</v>
      </c>
      <c r="Z14" s="83">
        <v>7.9478314209162126E-2</v>
      </c>
      <c r="AA14" s="83">
        <v>8.3011621841606653E-2</v>
      </c>
      <c r="AB14" s="83">
        <v>9.2453214441527154E-2</v>
      </c>
      <c r="AC14" s="83">
        <v>8.3694437795994045E-2</v>
      </c>
      <c r="AD14" s="83">
        <v>8.8768013174564703E-2</v>
      </c>
      <c r="AE14" s="83">
        <v>8.9186607457724609E-2</v>
      </c>
      <c r="AF14" s="83">
        <v>0.11298259895018563</v>
      </c>
      <c r="AG14" s="83">
        <v>0.10786880446193589</v>
      </c>
      <c r="AH14" s="83">
        <v>9.2410822386937916E-2</v>
      </c>
      <c r="AI14" s="83">
        <v>0.12587846241138004</v>
      </c>
      <c r="AJ14" s="83">
        <v>0.11645657427321263</v>
      </c>
      <c r="AK14" s="83">
        <v>0.11499686243941197</v>
      </c>
      <c r="AL14" s="83">
        <v>1.3000573817936839E-2</v>
      </c>
      <c r="AM14" s="83">
        <v>0.22166673430779277</v>
      </c>
      <c r="AN14" s="83">
        <v>9.7437782017070276E-2</v>
      </c>
      <c r="AO14" s="83">
        <v>0.10060393048664747</v>
      </c>
      <c r="AP14" s="83">
        <v>0.13070615643212258</v>
      </c>
      <c r="AQ14" s="83">
        <v>0.11913343881806539</v>
      </c>
      <c r="AR14" s="83">
        <v>0.11913343881806539</v>
      </c>
      <c r="AS14" s="83">
        <v>0.12642125210555868</v>
      </c>
      <c r="AT14" s="83">
        <v>1.0308668491714476E-2</v>
      </c>
      <c r="AU14" s="83">
        <v>0.10835788352948907</v>
      </c>
      <c r="AV14" s="83">
        <v>0.11413007697594864</v>
      </c>
      <c r="AW14" s="83">
        <v>1.2713325251505838E-2</v>
      </c>
      <c r="AX14" s="83">
        <v>0.11724829688152689</v>
      </c>
      <c r="AY14" s="83">
        <v>0.12434305807109866</v>
      </c>
      <c r="AZ14" s="83">
        <v>0.12160426084969793</v>
      </c>
      <c r="BA14" s="83">
        <v>0.1287461157832247</v>
      </c>
      <c r="BB14" s="83">
        <v>0.12649926569787004</v>
      </c>
      <c r="BC14" s="83">
        <v>0.11932493127236395</v>
      </c>
      <c r="BD14" s="83">
        <v>0.12524313488756389</v>
      </c>
      <c r="BE14" s="83">
        <v>0.11411691589080386</v>
      </c>
      <c r="BF14" s="83">
        <v>0.12196655962319169</v>
      </c>
      <c r="BG14" s="83">
        <v>0.1231253617910231</v>
      </c>
      <c r="BH14" s="83">
        <v>0.12120887140073995</v>
      </c>
      <c r="BI14" s="83">
        <v>0.12353456033306914</v>
      </c>
    </row>
    <row r="15" spans="2:61" s="82" customFormat="1">
      <c r="B15" s="83">
        <v>2.8316500212359133</v>
      </c>
      <c r="C15" s="83">
        <v>2.5848002430239561</v>
      </c>
      <c r="D15" s="83">
        <v>2.6581438740673979</v>
      </c>
      <c r="E15" s="83">
        <v>2.3770615663326295</v>
      </c>
      <c r="F15" s="83">
        <v>2.4130584039938072</v>
      </c>
      <c r="G15" s="83">
        <v>2.5104955305630714</v>
      </c>
      <c r="H15" s="83">
        <v>2.6255226062601444</v>
      </c>
      <c r="I15" s="83">
        <v>2.4938903828885994</v>
      </c>
      <c r="J15" s="83">
        <v>2.2600371475727745</v>
      </c>
      <c r="K15" s="83">
        <v>2.2959972773367912</v>
      </c>
      <c r="L15" s="83">
        <v>2.0114288056943082</v>
      </c>
      <c r="M15" s="83">
        <v>1.3207387442059717</v>
      </c>
      <c r="N15" s="83">
        <v>1.248352297641651</v>
      </c>
      <c r="O15" s="83">
        <v>1.248352297641651</v>
      </c>
      <c r="P15" s="83">
        <v>1.3237912524416215</v>
      </c>
      <c r="Q15" s="83">
        <v>1.3958014966153129</v>
      </c>
      <c r="R15" s="83">
        <v>1.3524967640451344</v>
      </c>
      <c r="S15" s="83">
        <v>1.3178966487654917</v>
      </c>
      <c r="T15" s="83">
        <v>1.4019395992292956</v>
      </c>
      <c r="U15" s="83">
        <v>1.4347971815764307</v>
      </c>
      <c r="V15" s="83">
        <v>0.14793146179739206</v>
      </c>
      <c r="W15" s="83">
        <v>0.16255607601699698</v>
      </c>
      <c r="X15" s="83">
        <v>0.21658072004260495</v>
      </c>
      <c r="Y15" s="83">
        <v>0.28627121813253753</v>
      </c>
      <c r="Z15" s="83">
        <v>0.13601871334174326</v>
      </c>
      <c r="AA15" s="83">
        <v>0.12619230655717356</v>
      </c>
      <c r="AB15" s="83">
        <v>0.12677598642379218</v>
      </c>
      <c r="AC15" s="83">
        <v>0.26189512419400457</v>
      </c>
      <c r="AD15" s="83">
        <v>0.10317273011473964</v>
      </c>
      <c r="AE15" s="83">
        <v>0.12460078504595959</v>
      </c>
      <c r="AF15" s="83">
        <v>0.16114003328360263</v>
      </c>
      <c r="AG15" s="83">
        <v>0.18543153513816268</v>
      </c>
      <c r="AH15" s="83">
        <v>0.1409470780060989</v>
      </c>
      <c r="AI15" s="83">
        <v>0.12852858910544207</v>
      </c>
      <c r="AJ15" s="83">
        <v>0.23441873764287657</v>
      </c>
      <c r="AK15" s="83">
        <v>0.35798391301867105</v>
      </c>
      <c r="AL15" s="83">
        <v>0.17982746414344444</v>
      </c>
      <c r="AM15" s="83">
        <v>0.214407665171646</v>
      </c>
      <c r="AN15" s="83">
        <v>0.18840694324950588</v>
      </c>
      <c r="AO15" s="83">
        <v>0.36381719513935978</v>
      </c>
      <c r="AP15" s="83">
        <v>0.19784151261491389</v>
      </c>
      <c r="AQ15" s="83">
        <v>0.21518125460099136</v>
      </c>
      <c r="AR15" s="83">
        <v>0.23649236419298278</v>
      </c>
      <c r="AS15" s="83">
        <v>0.25277843002164357</v>
      </c>
      <c r="AT15" s="83">
        <v>0.25192445190514912</v>
      </c>
      <c r="AU15" s="83">
        <v>0.24437261215866479</v>
      </c>
      <c r="AV15" s="83">
        <v>0.23084022476973848</v>
      </c>
      <c r="AW15" s="83">
        <v>0.22622205379856791</v>
      </c>
      <c r="AX15" s="83">
        <v>0.25160545149100544</v>
      </c>
      <c r="AY15" s="83">
        <v>0.25024107757902603</v>
      </c>
      <c r="AZ15" s="83">
        <v>0.26858228613397417</v>
      </c>
      <c r="BA15" s="83">
        <v>0.29061002133538832</v>
      </c>
      <c r="BB15" s="83">
        <v>0.32587970797867344</v>
      </c>
      <c r="BC15" s="83">
        <v>0.32587970797867344</v>
      </c>
      <c r="BD15" s="83">
        <v>0.33777295396637641</v>
      </c>
      <c r="BE15" s="83">
        <v>0.30890491656827723</v>
      </c>
      <c r="BF15" s="83">
        <v>0.33882414899428503</v>
      </c>
      <c r="BG15" s="83">
        <v>0.34976539844567983</v>
      </c>
      <c r="BH15" s="83">
        <v>0.31359336086956952</v>
      </c>
      <c r="BI15" s="83">
        <v>0.34408962384857089</v>
      </c>
    </row>
    <row r="16" spans="2:61" s="82" customFormat="1">
      <c r="B16" s="83">
        <v>5.4374858669758712</v>
      </c>
      <c r="C16" s="83">
        <v>7.0323065085591994</v>
      </c>
      <c r="D16" s="83">
        <v>6.9471098426928126</v>
      </c>
      <c r="E16" s="83">
        <v>6.9169656841595195</v>
      </c>
      <c r="F16" s="83">
        <v>7.236844692701931</v>
      </c>
      <c r="G16" s="83">
        <v>11.615954089906085</v>
      </c>
      <c r="H16" s="83">
        <v>7.1541291705219461</v>
      </c>
      <c r="I16" s="83">
        <v>8.1050334768986616</v>
      </c>
      <c r="J16" s="83">
        <v>7.7916923328875338</v>
      </c>
      <c r="K16" s="83">
        <v>7.9958577808143536</v>
      </c>
      <c r="L16" s="83">
        <v>7.1532722309834798</v>
      </c>
      <c r="M16" s="83">
        <v>7.7580745918995664</v>
      </c>
      <c r="N16" s="83">
        <v>11.017128788673155</v>
      </c>
      <c r="O16" s="83">
        <v>10.281807147478679</v>
      </c>
      <c r="P16" s="83">
        <v>10.87281730464278</v>
      </c>
      <c r="Q16" s="83">
        <v>11.755554723005035</v>
      </c>
      <c r="R16" s="83">
        <v>12.656088746441778</v>
      </c>
      <c r="S16" s="83">
        <v>9.317999217426749</v>
      </c>
      <c r="T16" s="83">
        <v>12.242799471193173</v>
      </c>
      <c r="U16" s="83">
        <v>14.206918490495569</v>
      </c>
      <c r="V16" s="83">
        <v>0.22314605929572781</v>
      </c>
      <c r="W16" s="83">
        <v>0.20472804133389186</v>
      </c>
      <c r="X16" s="83">
        <v>0.23617362678360371</v>
      </c>
      <c r="Y16" s="83">
        <v>0.18420354961805327</v>
      </c>
      <c r="Z16" s="83">
        <v>0.18979887518261121</v>
      </c>
      <c r="AA16" s="83">
        <v>0.14722424628132691</v>
      </c>
      <c r="AB16" s="83">
        <v>0.15973395104240018</v>
      </c>
      <c r="AC16" s="83">
        <v>0.15785544909799501</v>
      </c>
      <c r="AD16" s="83">
        <v>0.13686927302277305</v>
      </c>
      <c r="AE16" s="83">
        <v>0.12392847313266769</v>
      </c>
      <c r="AF16" s="83">
        <v>0.13191052189643232</v>
      </c>
      <c r="AG16" s="83">
        <v>0.15565056795541968</v>
      </c>
      <c r="AH16" s="83">
        <v>0.14940236994224051</v>
      </c>
      <c r="AI16" s="83">
        <v>0.11414353513424931</v>
      </c>
      <c r="AJ16" s="83">
        <v>0.13430900751430483</v>
      </c>
      <c r="AK16" s="83">
        <v>0.11971524370637812</v>
      </c>
      <c r="AL16" s="83">
        <v>0.11446327815056796</v>
      </c>
      <c r="AM16" s="83">
        <v>9.6018823887431617E-2</v>
      </c>
      <c r="AN16" s="83">
        <v>0.10783821217078024</v>
      </c>
      <c r="AO16" s="83">
        <v>0.10271954933002431</v>
      </c>
      <c r="AP16" s="83">
        <v>0.14315493274392305</v>
      </c>
      <c r="AQ16" s="83">
        <v>0.12209881606791341</v>
      </c>
      <c r="AR16" s="83">
        <v>0.12107122635105494</v>
      </c>
      <c r="AS16" s="83">
        <v>0.11948636070903347</v>
      </c>
      <c r="AT16" s="83">
        <v>0.11552171667855174</v>
      </c>
      <c r="AU16" s="83">
        <v>8.7232899520125987E-2</v>
      </c>
      <c r="AV16" s="83">
        <v>0.11549892855207214</v>
      </c>
      <c r="AW16" s="83">
        <v>0.11979637723535232</v>
      </c>
      <c r="AX16" s="83">
        <v>0.12252208073565327</v>
      </c>
      <c r="AY16" s="83">
        <v>0.12009840067559367</v>
      </c>
      <c r="AZ16" s="83">
        <v>0.12896076065845224</v>
      </c>
      <c r="BA16" s="83">
        <v>0.1159655006281964</v>
      </c>
      <c r="BB16" s="83">
        <v>9.4310393320968341E-2</v>
      </c>
      <c r="BC16" s="83">
        <v>9.7436320434644175E-2</v>
      </c>
      <c r="BD16" s="83">
        <v>9.3981622767377981E-2</v>
      </c>
      <c r="BE16" s="83">
        <v>8.8797970790676375E-2</v>
      </c>
      <c r="BF16" s="83">
        <v>8.4296991036816399E-2</v>
      </c>
      <c r="BG16" s="83">
        <v>9.9809282560131538E-2</v>
      </c>
      <c r="BH16" s="83">
        <v>7.8007480572104562E-2</v>
      </c>
      <c r="BI16" s="83">
        <v>7.977825095354267E-2</v>
      </c>
    </row>
    <row r="17" spans="2:61" s="82" customFormat="1">
      <c r="B17" s="83">
        <v>0.78133144413800859</v>
      </c>
      <c r="C17" s="83">
        <v>0.782544539324319</v>
      </c>
      <c r="D17" s="83">
        <v>0.82538588929564827</v>
      </c>
      <c r="E17" s="83">
        <v>1.0899376141373449</v>
      </c>
      <c r="F17" s="83">
        <v>1.44689485397273</v>
      </c>
      <c r="G17" s="83">
        <v>1.1360215881526745</v>
      </c>
      <c r="H17" s="83">
        <v>1.2185180120558334</v>
      </c>
      <c r="I17" s="83">
        <v>0.87546419220179106</v>
      </c>
      <c r="J17" s="83">
        <v>0.57783771747844226</v>
      </c>
      <c r="K17" s="83">
        <v>0.44639830756178422</v>
      </c>
      <c r="L17" s="83">
        <v>0.42242382764245018</v>
      </c>
      <c r="M17" s="83">
        <v>0.43082994409442399</v>
      </c>
      <c r="N17" s="83">
        <v>0.58741435440109258</v>
      </c>
      <c r="O17" s="83">
        <v>0.73922773067692038</v>
      </c>
      <c r="P17" s="83">
        <v>1.0358688601997899</v>
      </c>
      <c r="Q17" s="83">
        <v>1.3764651910386696</v>
      </c>
      <c r="R17" s="83">
        <v>0.85388604932917866</v>
      </c>
      <c r="S17" s="83">
        <v>1.1594011324739752</v>
      </c>
      <c r="T17" s="83">
        <v>0.62688234213540994</v>
      </c>
      <c r="U17" s="83">
        <v>0.57943796660385882</v>
      </c>
      <c r="V17" s="83">
        <v>0.16611241142257019</v>
      </c>
      <c r="W17" s="83">
        <v>0.18428076654802325</v>
      </c>
      <c r="X17" s="83">
        <v>9.5858636493308461E-2</v>
      </c>
      <c r="Y17" s="83">
        <v>2.0111232992059764E-2</v>
      </c>
      <c r="Z17" s="83">
        <v>9.3793500908051705E-2</v>
      </c>
      <c r="AA17" s="83">
        <v>0.17702883120953627</v>
      </c>
      <c r="AB17" s="83">
        <v>1.8900434677757288E-2</v>
      </c>
      <c r="AC17" s="83">
        <v>6.8493369291846608E-3</v>
      </c>
      <c r="AD17" s="83">
        <v>2.0587061806009027E-2</v>
      </c>
      <c r="AE17" s="83">
        <v>1.6152289931816739E-2</v>
      </c>
      <c r="AF17" s="83">
        <v>1.7591210385706575E-3</v>
      </c>
      <c r="AG17" s="83">
        <v>5.1993053510524618E-3</v>
      </c>
      <c r="AH17" s="83">
        <v>5.5012468225351052E-2</v>
      </c>
      <c r="AI17" s="83">
        <v>9.6457547813786751E-2</v>
      </c>
      <c r="AJ17" s="83">
        <v>0.20255049453680113</v>
      </c>
      <c r="AK17" s="83">
        <v>0.29091450712525085</v>
      </c>
      <c r="AL17" s="83">
        <v>7.6919248049579975E-2</v>
      </c>
      <c r="AM17" s="83">
        <v>6.3508821128919105E-2</v>
      </c>
      <c r="AN17" s="83">
        <v>0.12454614085375462</v>
      </c>
      <c r="AO17" s="83">
        <v>3.193884701641117E-2</v>
      </c>
      <c r="AP17" s="83">
        <v>0.64445939069745217</v>
      </c>
      <c r="AQ17" s="83">
        <v>0.63160292553497399</v>
      </c>
      <c r="AR17" s="83">
        <v>0.72681732519187559</v>
      </c>
      <c r="AS17" s="83">
        <v>0.76599948954909924</v>
      </c>
      <c r="AT17" s="83">
        <v>0.77814631461866113</v>
      </c>
      <c r="AU17" s="83">
        <v>0.77782101454104169</v>
      </c>
      <c r="AV17" s="83">
        <v>0.75587743437453336</v>
      </c>
      <c r="AW17" s="83">
        <v>0.80766929587668257</v>
      </c>
      <c r="AX17" s="83">
        <v>0.87504895005536087</v>
      </c>
      <c r="AY17" s="83">
        <v>0.9215433948483458</v>
      </c>
      <c r="AZ17" s="83">
        <v>0.95408692280474838</v>
      </c>
      <c r="BA17" s="83">
        <v>1.039606551415772</v>
      </c>
      <c r="BB17" s="83">
        <v>1.1490169555473082</v>
      </c>
      <c r="BC17" s="83">
        <v>1.129260085659231</v>
      </c>
      <c r="BD17" s="83">
        <v>1.0860761217171477</v>
      </c>
      <c r="BE17" s="83">
        <v>0.97822211744039655</v>
      </c>
      <c r="BF17" s="83">
        <v>1.0563335527313178</v>
      </c>
      <c r="BG17" s="83">
        <v>1.110583919203461</v>
      </c>
      <c r="BH17" s="83">
        <v>1.1807908747890432</v>
      </c>
      <c r="BI17" s="83">
        <v>1.2644253066604421</v>
      </c>
    </row>
    <row r="18" spans="2:61" s="82" customFormat="1">
      <c r="B18" s="83">
        <v>0.78133144413800859</v>
      </c>
      <c r="C18" s="83">
        <v>0.782544539324319</v>
      </c>
      <c r="D18" s="83">
        <v>0.82538588929564827</v>
      </c>
      <c r="E18" s="83">
        <v>1.0899376141373449</v>
      </c>
      <c r="F18" s="83">
        <v>1.44689485397273</v>
      </c>
      <c r="G18" s="83">
        <v>1.1360215881526745</v>
      </c>
      <c r="H18" s="83">
        <v>1.2185180120558334</v>
      </c>
      <c r="I18" s="83">
        <v>0.87546419220179106</v>
      </c>
      <c r="J18" s="83">
        <v>0.57783771747844226</v>
      </c>
      <c r="K18" s="83">
        <v>0.44639830756178422</v>
      </c>
      <c r="L18" s="83">
        <v>0.42242382764245018</v>
      </c>
      <c r="M18" s="83">
        <v>0.43082994409442399</v>
      </c>
      <c r="N18" s="83">
        <v>0.58741435440109258</v>
      </c>
      <c r="O18" s="83">
        <v>0.73922773067692038</v>
      </c>
      <c r="P18" s="83">
        <v>1.0358688601997899</v>
      </c>
      <c r="Q18" s="83">
        <v>1.3764651910386696</v>
      </c>
      <c r="R18" s="83">
        <v>0.85388604932917866</v>
      </c>
      <c r="S18" s="83">
        <v>1.1594011324739752</v>
      </c>
      <c r="T18" s="83">
        <v>0.62688234213540994</v>
      </c>
      <c r="U18" s="83">
        <v>0.57943796660385882</v>
      </c>
      <c r="V18" s="83">
        <v>0.16611241142257019</v>
      </c>
      <c r="W18" s="83">
        <v>0.18428076654802325</v>
      </c>
      <c r="X18" s="83">
        <v>9.5858636493308461E-2</v>
      </c>
      <c r="Y18" s="83">
        <v>2.0111232992059764E-2</v>
      </c>
      <c r="Z18" s="83">
        <v>9.3793500908051705E-2</v>
      </c>
      <c r="AA18" s="83">
        <v>0.17702883120953627</v>
      </c>
      <c r="AB18" s="83">
        <v>1.8900434677757288E-2</v>
      </c>
      <c r="AC18" s="83">
        <v>6.8493369291846608E-3</v>
      </c>
      <c r="AD18" s="83">
        <v>2.0587061806009027E-2</v>
      </c>
      <c r="AE18" s="83">
        <v>1.6152289931816739E-2</v>
      </c>
      <c r="AF18" s="83">
        <v>1.7591210385706575E-3</v>
      </c>
      <c r="AG18" s="83">
        <v>5.1993053510524618E-3</v>
      </c>
      <c r="AH18" s="83">
        <v>5.5012468225351052E-2</v>
      </c>
      <c r="AI18" s="83">
        <v>9.6457547813786751E-2</v>
      </c>
      <c r="AJ18" s="83">
        <v>0.20255049453680113</v>
      </c>
      <c r="AK18" s="83">
        <v>0.29091450712525085</v>
      </c>
      <c r="AL18" s="83">
        <v>7.6919248049579975E-2</v>
      </c>
      <c r="AM18" s="83">
        <v>6.3508821128919105E-2</v>
      </c>
      <c r="AN18" s="83">
        <v>0.12454614085375462</v>
      </c>
      <c r="AO18" s="83">
        <v>3.193884701641117E-2</v>
      </c>
      <c r="AP18" s="83">
        <v>0.64445939069745217</v>
      </c>
      <c r="AQ18" s="83">
        <v>0.63160292553497399</v>
      </c>
      <c r="AR18" s="83">
        <v>0.72681732519187559</v>
      </c>
      <c r="AS18" s="83">
        <v>0.76599948954909924</v>
      </c>
      <c r="AT18" s="83">
        <v>0.77814631461866113</v>
      </c>
      <c r="AU18" s="83">
        <v>0.77782101454104169</v>
      </c>
      <c r="AV18" s="83">
        <v>0.75587743437453336</v>
      </c>
      <c r="AW18" s="83">
        <v>0.80766929587668257</v>
      </c>
      <c r="AX18" s="83">
        <v>0.87504895005536087</v>
      </c>
      <c r="AY18" s="83">
        <v>0.9215433948483458</v>
      </c>
      <c r="AZ18" s="83">
        <v>0.95408692280474838</v>
      </c>
      <c r="BA18" s="83">
        <v>1.039606551415772</v>
      </c>
      <c r="BB18" s="83">
        <v>1.1490169555473082</v>
      </c>
      <c r="BC18" s="83">
        <v>1.129260085659231</v>
      </c>
      <c r="BD18" s="83">
        <v>1.0860761217171477</v>
      </c>
      <c r="BE18" s="83">
        <v>0.97822211744039655</v>
      </c>
      <c r="BF18" s="83">
        <v>1.0563335527313178</v>
      </c>
      <c r="BG18" s="83">
        <v>1.110583919203461</v>
      </c>
      <c r="BH18" s="83">
        <v>1.1807908747890432</v>
      </c>
      <c r="BI18" s="83">
        <v>1.2644253066604421</v>
      </c>
    </row>
    <row r="19" spans="2:61" s="82" customFormat="1">
      <c r="B19" s="83">
        <v>0.69543716247305709</v>
      </c>
      <c r="C19" s="83">
        <v>0.91553766925671476</v>
      </c>
      <c r="D19" s="83">
        <v>1.0183921627742196</v>
      </c>
      <c r="E19" s="83">
        <v>1.0133461845701521</v>
      </c>
      <c r="F19" s="83">
        <v>1.3215045935776992</v>
      </c>
      <c r="G19" s="83">
        <v>1.6289303178012515</v>
      </c>
      <c r="H19" s="83">
        <v>1.2425319341762426</v>
      </c>
      <c r="I19" s="83">
        <v>1.581494199134148</v>
      </c>
      <c r="J19" s="83">
        <v>1.4314782021200838</v>
      </c>
      <c r="K19" s="83">
        <v>1.359480905679685</v>
      </c>
      <c r="L19" s="83">
        <v>1.244911816860782</v>
      </c>
      <c r="M19" s="83">
        <v>0.85878611549637662</v>
      </c>
      <c r="N19" s="83">
        <v>0.86448393870688911</v>
      </c>
      <c r="O19" s="83">
        <v>0.87115467843841154</v>
      </c>
      <c r="P19" s="83">
        <v>0.85261895349329619</v>
      </c>
      <c r="Q19" s="83">
        <v>0.7380244089823822</v>
      </c>
      <c r="R19" s="83">
        <v>0.74869849804110555</v>
      </c>
      <c r="S19" s="83">
        <v>1.3756375413935931</v>
      </c>
      <c r="T19" s="83">
        <v>1.3983484903951644</v>
      </c>
      <c r="U19" s="83">
        <v>0.13872050078834663</v>
      </c>
      <c r="V19" s="83">
        <v>4.8902281210819021E-2</v>
      </c>
      <c r="W19" s="83">
        <v>3.1508423805700063E-2</v>
      </c>
      <c r="X19" s="83">
        <v>3.0200759266951097E-2</v>
      </c>
      <c r="Y19" s="83">
        <v>5.0470654334108002E-2</v>
      </c>
      <c r="Z19" s="83">
        <v>3.8698969453586786E-2</v>
      </c>
      <c r="AA19" s="83">
        <v>3.7153032755494558E-2</v>
      </c>
      <c r="AB19" s="83">
        <v>2.7529976864899292E-2</v>
      </c>
      <c r="AC19" s="83">
        <v>5.7097242364772878E-2</v>
      </c>
      <c r="AD19" s="83">
        <v>3.672743200071249E-2</v>
      </c>
      <c r="AE19" s="83">
        <v>4.2137412424623912E-2</v>
      </c>
      <c r="AF19" s="83">
        <v>3.6562350099215379E-2</v>
      </c>
      <c r="AG19" s="83">
        <v>2.1357081318866194E-2</v>
      </c>
      <c r="AH19" s="83">
        <v>3.5887368988423402E-2</v>
      </c>
      <c r="AI19" s="83">
        <v>4.0610259710197147E-2</v>
      </c>
      <c r="AJ19" s="83">
        <v>2.0733380396597008E-2</v>
      </c>
      <c r="AK19" s="83">
        <v>2.0474574961617035E-2</v>
      </c>
      <c r="AL19" s="83">
        <v>2.3678765796165516E-2</v>
      </c>
      <c r="AM19" s="83">
        <v>1.9934824342321252E-2</v>
      </c>
      <c r="AN19" s="83">
        <v>2.0704192657099101E-2</v>
      </c>
      <c r="AO19" s="83">
        <v>8.7882808620861882E-2</v>
      </c>
      <c r="AP19" s="83">
        <v>0.64175263260697435</v>
      </c>
      <c r="AQ19" s="83">
        <v>0.66478518415369403</v>
      </c>
      <c r="AR19" s="83">
        <v>0.71126530968672286</v>
      </c>
      <c r="AS19" s="83">
        <v>0.66837713588672132</v>
      </c>
      <c r="AT19" s="83">
        <v>0.65184286296491223</v>
      </c>
      <c r="AU19" s="83">
        <v>0.66319074953312951</v>
      </c>
      <c r="AV19" s="83">
        <v>0.65444473515265311</v>
      </c>
      <c r="AW19" s="83">
        <v>0.65642380511972054</v>
      </c>
      <c r="AX19" s="83">
        <v>0.65733938859623631</v>
      </c>
      <c r="AY19" s="83">
        <v>0.65914512316524143</v>
      </c>
      <c r="AZ19" s="83">
        <v>0.66869517567607606</v>
      </c>
      <c r="BA19" s="83">
        <v>0.68484768848653022</v>
      </c>
      <c r="BB19" s="83">
        <v>0.68872759520980986</v>
      </c>
      <c r="BC19" s="83">
        <v>0.70844921907033742</v>
      </c>
      <c r="BD19" s="83">
        <v>0.74178244840467533</v>
      </c>
      <c r="BE19" s="83">
        <v>0.75401078695256885</v>
      </c>
      <c r="BF19" s="83">
        <v>0.75527669744493353</v>
      </c>
      <c r="BG19" s="83">
        <v>0.752563055635461</v>
      </c>
      <c r="BH19" s="83">
        <v>0.75624500495333558</v>
      </c>
      <c r="BI19" s="83">
        <v>1.0075590117242819</v>
      </c>
    </row>
    <row r="20" spans="2:61" s="82" customFormat="1">
      <c r="B20" s="83">
        <v>1.3463840618975011</v>
      </c>
      <c r="C20" s="83">
        <v>1.4558793164680328</v>
      </c>
      <c r="D20" s="83">
        <v>1.3587757678980443</v>
      </c>
      <c r="E20" s="83">
        <v>1.4989796400769013</v>
      </c>
      <c r="F20" s="83">
        <v>1.5494135427975393</v>
      </c>
      <c r="G20" s="83">
        <v>1.7050453887294896</v>
      </c>
      <c r="H20" s="83">
        <v>1.6563158187153701</v>
      </c>
      <c r="I20" s="83">
        <v>1.7487601306398937</v>
      </c>
      <c r="J20" s="83">
        <v>18.908929411150009</v>
      </c>
      <c r="K20" s="83">
        <v>2.0305461086596024</v>
      </c>
      <c r="L20" s="83">
        <v>1.9637697152849698</v>
      </c>
      <c r="M20" s="83">
        <v>1.9747511221723479</v>
      </c>
      <c r="N20" s="83">
        <v>1.7864177977046225</v>
      </c>
      <c r="O20" s="83">
        <v>0.41743272646809348</v>
      </c>
      <c r="P20" s="83">
        <v>0.4284713236511164</v>
      </c>
      <c r="Q20" s="83">
        <v>0.41756454210525662</v>
      </c>
      <c r="R20" s="83">
        <v>0.46242079426411575</v>
      </c>
      <c r="S20" s="83">
        <v>0.45391765494332587</v>
      </c>
      <c r="T20" s="83">
        <v>0.42583316245325209</v>
      </c>
      <c r="U20" s="83">
        <v>0.41472304301953772</v>
      </c>
      <c r="V20" s="83">
        <v>8.4625378736854787E-2</v>
      </c>
      <c r="W20" s="83">
        <v>9.0401469457150954E-2</v>
      </c>
      <c r="X20" s="83">
        <v>8.8921253150225296E-2</v>
      </c>
      <c r="Y20" s="83">
        <v>9.1714584894530063E-2</v>
      </c>
      <c r="Z20" s="83">
        <v>9.1845473068617553E-2</v>
      </c>
      <c r="AA20" s="83">
        <v>9.1696650062183679E-2</v>
      </c>
      <c r="AB20" s="83">
        <v>7.3425964527142909E-2</v>
      </c>
      <c r="AC20" s="83">
        <v>9.9516300667505081E-2</v>
      </c>
      <c r="AD20" s="83">
        <v>0.14148840687631262</v>
      </c>
      <c r="AE20" s="83">
        <v>0.18518556352843005</v>
      </c>
      <c r="AF20" s="83">
        <v>0.15930550812818842</v>
      </c>
      <c r="AG20" s="83">
        <v>0.12371405416845181</v>
      </c>
      <c r="AH20" s="83">
        <v>0.16960252318609451</v>
      </c>
      <c r="AI20" s="83">
        <v>0.18349327796648632</v>
      </c>
      <c r="AJ20" s="83">
        <v>7.4266984782648038E-2</v>
      </c>
      <c r="AK20" s="83">
        <v>0.17137184388991439</v>
      </c>
      <c r="AL20" s="83">
        <v>0.25434212109485516</v>
      </c>
      <c r="AM20" s="83">
        <v>0.15747851188738607</v>
      </c>
      <c r="AN20" s="83">
        <v>7.6877237898147887E-3</v>
      </c>
      <c r="AO20" s="83">
        <v>7.6330785516689911E-2</v>
      </c>
      <c r="AP20" s="83">
        <v>0.66203916081658798</v>
      </c>
      <c r="AQ20" s="83">
        <v>0.6400690199570902</v>
      </c>
      <c r="AR20" s="83">
        <v>0.63787247234673838</v>
      </c>
      <c r="AS20" s="83">
        <v>0.63663998694356772</v>
      </c>
      <c r="AT20" s="83">
        <v>0.62337406125460926</v>
      </c>
      <c r="AU20" s="83">
        <v>0.61977108425722094</v>
      </c>
      <c r="AV20" s="83">
        <v>0.61112445051900555</v>
      </c>
      <c r="AW20" s="83">
        <v>0.59332494921157009</v>
      </c>
      <c r="AX20" s="83">
        <v>0.57951222184497531</v>
      </c>
      <c r="AY20" s="83">
        <v>0.5680799702224949</v>
      </c>
      <c r="AZ20" s="83">
        <v>0.55905289272446945</v>
      </c>
      <c r="BA20" s="83">
        <v>0.55369098069984357</v>
      </c>
      <c r="BB20" s="83">
        <v>0.55534438604442149</v>
      </c>
      <c r="BC20" s="83">
        <v>0.54791640358226401</v>
      </c>
      <c r="BD20" s="83">
        <v>0.5609598796466948</v>
      </c>
      <c r="BE20" s="83">
        <v>0.56142645079066378</v>
      </c>
      <c r="BF20" s="83">
        <v>0.57111127732016087</v>
      </c>
      <c r="BG20" s="83">
        <v>0.56283870130712599</v>
      </c>
      <c r="BH20" s="83">
        <v>0.56062740342796014</v>
      </c>
      <c r="BI20" s="83">
        <v>0.5828759576719712</v>
      </c>
    </row>
    <row r="21" spans="2:61" s="82" customFormat="1">
      <c r="B21" s="83">
        <v>0.71</v>
      </c>
      <c r="C21" s="83">
        <v>0.71</v>
      </c>
      <c r="D21" s="83">
        <v>0.71</v>
      </c>
      <c r="E21" s="83">
        <v>0.71</v>
      </c>
      <c r="F21" s="83">
        <v>0.71</v>
      </c>
      <c r="G21" s="83">
        <v>0.71</v>
      </c>
      <c r="H21" s="83">
        <v>0.71</v>
      </c>
      <c r="I21" s="83">
        <v>0.71</v>
      </c>
      <c r="J21" s="83">
        <v>0.71</v>
      </c>
      <c r="K21" s="83">
        <v>0.71</v>
      </c>
      <c r="L21" s="83">
        <v>0.71</v>
      </c>
      <c r="M21" s="83">
        <v>0.71</v>
      </c>
      <c r="N21" s="83">
        <v>0.71</v>
      </c>
      <c r="O21" s="83">
        <v>0.93373979791887496</v>
      </c>
      <c r="P21" s="83">
        <v>1.0647392710549273</v>
      </c>
      <c r="Q21" s="83">
        <v>1.1670147095455681</v>
      </c>
      <c r="R21" s="83">
        <v>1.0005917950895111</v>
      </c>
      <c r="S21" s="83">
        <v>0.95663226133208124</v>
      </c>
      <c r="T21" s="83">
        <v>0.94041749081368897</v>
      </c>
      <c r="U21" s="83">
        <v>0.94311467250003589</v>
      </c>
      <c r="V21" s="83">
        <v>0.21179317631987124</v>
      </c>
      <c r="W21" s="83">
        <v>0.1286811224043225</v>
      </c>
      <c r="X21" s="83">
        <v>0.13387540729411765</v>
      </c>
      <c r="Y21" s="83">
        <v>0.100529301699975</v>
      </c>
      <c r="Z21" s="83">
        <v>0.18732369885618458</v>
      </c>
      <c r="AA21" s="83">
        <v>0.12318016874624559</v>
      </c>
      <c r="AB21" s="83">
        <v>0.16562678258733041</v>
      </c>
      <c r="AC21" s="83">
        <v>0.15943325988844365</v>
      </c>
      <c r="AD21" s="83">
        <v>0.1162321987915565</v>
      </c>
      <c r="AE21" s="83">
        <v>0.12583574602805508</v>
      </c>
      <c r="AF21" s="83">
        <v>0.12837061790032808</v>
      </c>
      <c r="AG21" s="83">
        <v>0.13843942768232043</v>
      </c>
      <c r="AH21" s="83">
        <v>4.9553029200073748E-2</v>
      </c>
      <c r="AI21" s="83">
        <v>7.9206603570814868E-2</v>
      </c>
      <c r="AJ21" s="83">
        <v>0.1034858361614072</v>
      </c>
      <c r="AK21" s="83">
        <v>0.11763809150986265</v>
      </c>
      <c r="AL21" s="83">
        <v>0.11660365709811493</v>
      </c>
      <c r="AM21" s="83">
        <v>8.4531853594796813E-2</v>
      </c>
      <c r="AN21" s="83">
        <v>0.12394723520830415</v>
      </c>
      <c r="AO21" s="83">
        <v>8.968346036208083E-2</v>
      </c>
      <c r="AP21" s="83">
        <v>0.61047598137509873</v>
      </c>
      <c r="AQ21" s="83">
        <v>0.61375348449224809</v>
      </c>
      <c r="AR21" s="83">
        <v>0.62428330896193784</v>
      </c>
      <c r="AS21" s="83">
        <v>0.63233533385024498</v>
      </c>
      <c r="AT21" s="83">
        <v>0.66905342667078305</v>
      </c>
      <c r="AU21" s="83">
        <v>0.66124674022343688</v>
      </c>
      <c r="AV21" s="83">
        <v>0.67024056277959887</v>
      </c>
      <c r="AW21" s="83">
        <v>0.65110185864876302</v>
      </c>
      <c r="AX21" s="83">
        <v>0.70244606958406919</v>
      </c>
      <c r="AY21" s="83">
        <v>0.69141245192406264</v>
      </c>
      <c r="AZ21" s="83">
        <v>0.70374402844367767</v>
      </c>
      <c r="BA21" s="83">
        <v>0.70202696587888069</v>
      </c>
      <c r="BB21" s="83">
        <v>0.80586420241430656</v>
      </c>
      <c r="BC21" s="83">
        <v>0.82398530476397136</v>
      </c>
      <c r="BD21" s="83">
        <v>0.835916673180082</v>
      </c>
      <c r="BE21" s="83">
        <v>0.80059428494042129</v>
      </c>
      <c r="BF21" s="83">
        <v>0.9031568325098458</v>
      </c>
      <c r="BG21" s="83">
        <v>0.93135161428764357</v>
      </c>
      <c r="BH21" s="83">
        <v>0.93121333618862834</v>
      </c>
      <c r="BI21" s="83">
        <v>0.94230703744690525</v>
      </c>
    </row>
    <row r="22" spans="2:61" s="82" customFormat="1">
      <c r="B22" s="83">
        <v>0.8229825834729263</v>
      </c>
      <c r="C22" s="83">
        <v>0.80245629554995801</v>
      </c>
      <c r="D22" s="83">
        <v>0.85745515090507873</v>
      </c>
      <c r="E22" s="83">
        <v>0.83243493421360171</v>
      </c>
      <c r="F22" s="83">
        <v>0.60160618986705749</v>
      </c>
      <c r="G22" s="83">
        <v>0.56696246381742732</v>
      </c>
      <c r="H22" s="83">
        <v>0.72233539267491331</v>
      </c>
      <c r="I22" s="83">
        <v>1.8411545042346187</v>
      </c>
      <c r="J22" s="83">
        <v>2.3795993091920344</v>
      </c>
      <c r="K22" s="83">
        <v>2.0637609750597474</v>
      </c>
      <c r="L22" s="83">
        <v>2.1066931606260737</v>
      </c>
      <c r="M22" s="83">
        <v>1.7731774870189008</v>
      </c>
      <c r="N22" s="83">
        <v>1.8515304620374005</v>
      </c>
      <c r="O22" s="83">
        <v>1.5958158313790898</v>
      </c>
      <c r="P22" s="83">
        <v>1.8217140871634743</v>
      </c>
      <c r="Q22" s="83">
        <v>1.718943104869046</v>
      </c>
      <c r="R22" s="83">
        <v>1.382043115584636</v>
      </c>
      <c r="S22" s="83">
        <v>1.2569093606613908</v>
      </c>
      <c r="T22" s="83">
        <v>1.1059606351473388</v>
      </c>
      <c r="U22" s="83">
        <v>1.012506822330129</v>
      </c>
      <c r="V22" s="83">
        <v>7.4904413123611888E-2</v>
      </c>
      <c r="W22" s="83">
        <v>7.4048566240235356E-2</v>
      </c>
      <c r="X22" s="83">
        <v>6.6366459097962516E-2</v>
      </c>
      <c r="Y22" s="83">
        <v>3.8973646544784198E-2</v>
      </c>
      <c r="Z22" s="83">
        <v>2.4300088239366201E-2</v>
      </c>
      <c r="AA22" s="83">
        <v>4.2195199429449902E-2</v>
      </c>
      <c r="AB22" s="83">
        <v>2.1093093407279665E-2</v>
      </c>
      <c r="AC22" s="83">
        <v>5.9152400862478041E-2</v>
      </c>
      <c r="AD22" s="83">
        <v>5.5830101430450023E-2</v>
      </c>
      <c r="AE22" s="83">
        <v>3.3253361381072918E-2</v>
      </c>
      <c r="AF22" s="83">
        <v>5.9165994456870014E-2</v>
      </c>
      <c r="AG22" s="83">
        <v>3.7668126105556733E-2</v>
      </c>
      <c r="AH22" s="83">
        <v>2.6418246498787306E-2</v>
      </c>
      <c r="AI22" s="83">
        <v>2.1777590800974446E-2</v>
      </c>
      <c r="AJ22" s="83">
        <v>1.5930595971466229E-2</v>
      </c>
      <c r="AK22" s="83">
        <v>8.722979465611392E-3</v>
      </c>
      <c r="AL22" s="83">
        <v>1.1485525609032592E-2</v>
      </c>
      <c r="AM22" s="83">
        <v>1.3110856642657456E-2</v>
      </c>
      <c r="AN22" s="83">
        <v>4.1221001007582855E-3</v>
      </c>
      <c r="AO22" s="83">
        <v>5.9836111391554613E-3</v>
      </c>
      <c r="AP22" s="83">
        <v>0.57926561458066239</v>
      </c>
      <c r="AQ22" s="83">
        <v>0.56672089835533956</v>
      </c>
      <c r="AR22" s="83">
        <v>0.55474170027494174</v>
      </c>
      <c r="AS22" s="83">
        <v>0.58991495449222586</v>
      </c>
      <c r="AT22" s="83">
        <v>0.61033471289870633</v>
      </c>
      <c r="AU22" s="83">
        <v>0.6960383049389367</v>
      </c>
      <c r="AV22" s="83">
        <v>0.67165091514622155</v>
      </c>
      <c r="AW22" s="83">
        <v>0.67872547185504384</v>
      </c>
      <c r="AX22" s="83">
        <v>0.68851083133045898</v>
      </c>
      <c r="AY22" s="83">
        <v>0.71105556130987213</v>
      </c>
      <c r="AZ22" s="83">
        <v>0.68399248138018154</v>
      </c>
      <c r="BA22" s="83">
        <v>0.70081116038884972</v>
      </c>
      <c r="BB22" s="83">
        <v>0.70243396482031784</v>
      </c>
      <c r="BC22" s="83">
        <v>0.70397308983526363</v>
      </c>
      <c r="BD22" s="83">
        <v>0.71438197499777611</v>
      </c>
      <c r="BE22" s="83">
        <v>0.76255016744101078</v>
      </c>
      <c r="BF22" s="83">
        <v>0.76255016744101078</v>
      </c>
      <c r="BG22" s="83">
        <v>0.76726867674869037</v>
      </c>
      <c r="BH22" s="83">
        <v>0.77840409467493399</v>
      </c>
      <c r="BI22" s="83">
        <v>0.82830356034846975</v>
      </c>
    </row>
    <row r="23" spans="2:61" s="82" customFormat="1">
      <c r="B23" s="83">
        <v>1.8640076886112447</v>
      </c>
      <c r="C23" s="83">
        <v>0.97034620727079812</v>
      </c>
      <c r="D23" s="83">
        <v>0.99043390996645797</v>
      </c>
      <c r="E23" s="83">
        <v>0.99347259401674914</v>
      </c>
      <c r="F23" s="83">
        <v>1.0068752339697311</v>
      </c>
      <c r="G23" s="83">
        <v>1.1740475484171717</v>
      </c>
      <c r="H23" s="83">
        <v>1.0715743788037735</v>
      </c>
      <c r="I23" s="83">
        <v>0.96409053708680947</v>
      </c>
      <c r="J23" s="83">
        <v>9.2128382904283643E-2</v>
      </c>
      <c r="K23" s="83">
        <v>8.7312333240412571E-2</v>
      </c>
      <c r="L23" s="83">
        <v>0.73860924643639347</v>
      </c>
      <c r="M23" s="83">
        <v>0.81946805119242339</v>
      </c>
      <c r="N23" s="83">
        <v>0.83650300944510636</v>
      </c>
      <c r="O23" s="83">
        <v>0.85418530886715072</v>
      </c>
      <c r="P23" s="83">
        <v>0.85584290899761684</v>
      </c>
      <c r="Q23" s="83">
        <v>0.86380619689356664</v>
      </c>
      <c r="R23" s="83">
        <v>0.98672437286971426</v>
      </c>
      <c r="S23" s="83">
        <v>0.93654782041155527</v>
      </c>
      <c r="T23" s="83">
        <v>0.93381886845609219</v>
      </c>
      <c r="U23" s="83">
        <v>0.97685574846509682</v>
      </c>
      <c r="V23" s="83">
        <v>0.57832724568780269</v>
      </c>
      <c r="W23" s="83">
        <v>0.21219436616671847</v>
      </c>
      <c r="X23" s="83">
        <v>0.23029980897463567</v>
      </c>
      <c r="Y23" s="83">
        <v>0.2350833576365528</v>
      </c>
      <c r="Z23" s="83">
        <v>0.33881263545385454</v>
      </c>
      <c r="AA23" s="83">
        <v>0.11687242661117485</v>
      </c>
      <c r="AB23" s="83">
        <v>0.14560660976008685</v>
      </c>
      <c r="AC23" s="83">
        <v>0.19261203621138098</v>
      </c>
      <c r="AD23" s="83">
        <v>0.2950618358991729</v>
      </c>
      <c r="AE23" s="83">
        <v>0.24578759812587836</v>
      </c>
      <c r="AF23" s="83">
        <v>0.36599033893696314</v>
      </c>
      <c r="AG23" s="83">
        <v>0.35644665772493295</v>
      </c>
      <c r="AH23" s="83">
        <v>0.47237056692820856</v>
      </c>
      <c r="AI23" s="83">
        <v>0.36631794335047424</v>
      </c>
      <c r="AJ23" s="83">
        <v>0.39977385195471882</v>
      </c>
      <c r="AK23" s="83">
        <v>0.35557355580107963</v>
      </c>
      <c r="AL23" s="83">
        <v>0.36782078558275078</v>
      </c>
      <c r="AM23" s="83">
        <v>0.28311791156244992</v>
      </c>
      <c r="AN23" s="83">
        <v>0.29981687744011326</v>
      </c>
      <c r="AO23" s="83">
        <v>0.30935821845290573</v>
      </c>
      <c r="AP23" s="83">
        <v>0.46147298014866189</v>
      </c>
      <c r="AQ23" s="83">
        <v>0.73397730836742781</v>
      </c>
      <c r="AR23" s="83">
        <v>0.72792453694253212</v>
      </c>
      <c r="AS23" s="83">
        <v>0.73579176039046856</v>
      </c>
      <c r="AT23" s="83">
        <v>0.7731093140876476</v>
      </c>
      <c r="AU23" s="83">
        <v>0.85870594669583544</v>
      </c>
      <c r="AV23" s="83">
        <v>0.91177425739757878</v>
      </c>
      <c r="AW23" s="83">
        <v>0.96362594650586009</v>
      </c>
      <c r="AX23" s="83">
        <v>0.99335667763945046</v>
      </c>
      <c r="AY23" s="83">
        <v>1.0253629138027736</v>
      </c>
      <c r="AZ23" s="83">
        <v>1.0187894879956494</v>
      </c>
      <c r="BA23" s="83">
        <v>1.0061693431450736</v>
      </c>
      <c r="BB23" s="83">
        <v>0.99896145472561915</v>
      </c>
      <c r="BC23" s="83">
        <v>1.0082099230934256</v>
      </c>
      <c r="BD23" s="83">
        <v>1.0004411176700732</v>
      </c>
      <c r="BE23" s="83">
        <v>1.0265370758191636</v>
      </c>
      <c r="BF23" s="83">
        <v>0.7800446963331128</v>
      </c>
      <c r="BG23" s="83">
        <v>0.82591502850334009</v>
      </c>
      <c r="BH23" s="83">
        <v>0.87196158764986742</v>
      </c>
      <c r="BI23" s="83">
        <v>0.89919659780427019</v>
      </c>
    </row>
    <row r="24" spans="2:61" s="82" customFormat="1">
      <c r="B24" s="83">
        <v>0.36267401497052992</v>
      </c>
      <c r="C24" s="83">
        <v>0.40167879675887525</v>
      </c>
      <c r="D24" s="83">
        <v>0.40719788813691249</v>
      </c>
      <c r="E24" s="83">
        <v>0.38709313028963638</v>
      </c>
      <c r="F24" s="83">
        <v>0.36022021311154673</v>
      </c>
      <c r="G24" s="83">
        <v>0.2763404171916371</v>
      </c>
      <c r="H24" s="83">
        <v>0.25586834439104567</v>
      </c>
      <c r="I24" s="83">
        <v>0.30598870146794188</v>
      </c>
      <c r="J24" s="83">
        <v>0.31139810791572947</v>
      </c>
      <c r="K24" s="83">
        <v>0.36661918814695932</v>
      </c>
      <c r="L24" s="83">
        <v>0.41824470334490693</v>
      </c>
      <c r="M24" s="83">
        <v>0.26956254597518337</v>
      </c>
      <c r="N24" s="83">
        <v>0.29967056910998963</v>
      </c>
      <c r="O24" s="83">
        <v>0.33994422830891913</v>
      </c>
      <c r="P24" s="83">
        <v>0.36789804096680134</v>
      </c>
      <c r="Q24" s="83">
        <v>0.83741216083133052</v>
      </c>
      <c r="R24" s="83">
        <v>0.83386214795031832</v>
      </c>
      <c r="S24" s="83">
        <v>0.86491480545174682</v>
      </c>
      <c r="T24" s="83">
        <v>0.81618789298107319</v>
      </c>
      <c r="U24" s="83">
        <v>0.83086901619843623</v>
      </c>
      <c r="V24" s="83">
        <v>6.0122643204531041E-2</v>
      </c>
      <c r="W24" s="83">
        <v>6.7611643724605833E-2</v>
      </c>
      <c r="X24" s="83">
        <v>7.2593358387851373E-2</v>
      </c>
      <c r="Y24" s="83">
        <v>9.7416581270118138E-2</v>
      </c>
      <c r="Z24" s="83">
        <v>7.1116322402503263E-2</v>
      </c>
      <c r="AA24" s="83">
        <v>5.1140969571140643E-2</v>
      </c>
      <c r="AB24" s="83">
        <v>4.322875395991424E-2</v>
      </c>
      <c r="AC24" s="83">
        <v>5.9077525631656691E-2</v>
      </c>
      <c r="AD24" s="83">
        <v>5.6073877334377555E-2</v>
      </c>
      <c r="AE24" s="83">
        <v>6.5442861033590372E-2</v>
      </c>
      <c r="AF24" s="83">
        <v>6.5984163602825052E-2</v>
      </c>
      <c r="AG24" s="83">
        <v>8.0977352039882058E-2</v>
      </c>
      <c r="AH24" s="83">
        <v>8.3914413014274838E-2</v>
      </c>
      <c r="AI24" s="83">
        <v>0.13872463379802835</v>
      </c>
      <c r="AJ24" s="83">
        <v>9.3766582324616599E-2</v>
      </c>
      <c r="AK24" s="83">
        <v>9.6985114663361016E-2</v>
      </c>
      <c r="AL24" s="83">
        <v>0.10585892935923093</v>
      </c>
      <c r="AM24" s="83">
        <v>9.8822189406507097E-2</v>
      </c>
      <c r="AN24" s="83">
        <v>6.8860177678263579E-2</v>
      </c>
      <c r="AO24" s="83">
        <v>0.12021433514638553</v>
      </c>
      <c r="AP24" s="83">
        <v>0.85762908775387936</v>
      </c>
      <c r="AQ24" s="83">
        <v>0.83841607198156753</v>
      </c>
      <c r="AR24" s="83">
        <v>1.0334389038217175</v>
      </c>
      <c r="AS24" s="83">
        <v>0.86228397880608476</v>
      </c>
      <c r="AT24" s="83">
        <v>0.86823639057988977</v>
      </c>
      <c r="AU24" s="83">
        <v>0.86651358616496432</v>
      </c>
      <c r="AV24" s="83">
        <v>0.87499232331266752</v>
      </c>
      <c r="AW24" s="83">
        <v>1.1746548489489435</v>
      </c>
      <c r="AX24" s="83">
        <v>1.1781335950691565</v>
      </c>
      <c r="AY24" s="83">
        <v>0.93832113120611804</v>
      </c>
      <c r="AZ24" s="83">
        <v>1.1389947547675456</v>
      </c>
      <c r="BA24" s="83">
        <v>0.84695093686590539</v>
      </c>
      <c r="BB24" s="83">
        <v>0.81888941695804485</v>
      </c>
      <c r="BC24" s="83">
        <v>0.80102118724506344</v>
      </c>
      <c r="BD24" s="83">
        <v>1.0293700425544381</v>
      </c>
      <c r="BE24" s="83">
        <v>0.64831855135419847</v>
      </c>
      <c r="BF24" s="83">
        <v>0.62930212781198602</v>
      </c>
      <c r="BG24" s="83">
        <v>0.63046538752449066</v>
      </c>
      <c r="BH24" s="83">
        <v>0.62038904831796382</v>
      </c>
      <c r="BI24" s="83">
        <v>0.63282197735796442</v>
      </c>
    </row>
    <row r="25" spans="2:61" s="82" customFormat="1">
      <c r="B25" s="83">
        <v>2.2648369999815943</v>
      </c>
      <c r="C25" s="83">
        <v>2.148388244673749</v>
      </c>
      <c r="D25" s="83">
        <v>1.8530963607755837</v>
      </c>
      <c r="E25" s="83">
        <v>1.9265352749776472</v>
      </c>
      <c r="F25" s="83">
        <v>1.6252013224890969</v>
      </c>
      <c r="G25" s="83">
        <v>1.5579358342461163</v>
      </c>
      <c r="H25" s="83">
        <v>1.4127659571360838</v>
      </c>
      <c r="I25" s="83">
        <v>0.25692957536979799</v>
      </c>
      <c r="J25" s="83">
        <v>0.24815629411916282</v>
      </c>
      <c r="K25" s="83">
        <v>0.24418026946264834</v>
      </c>
      <c r="L25" s="83">
        <v>0.24433392211649615</v>
      </c>
      <c r="M25" s="83">
        <v>0.97873720222011784</v>
      </c>
      <c r="N25" s="83">
        <v>1.0333414842927171</v>
      </c>
      <c r="O25" s="83">
        <v>0.77860965885094013</v>
      </c>
      <c r="P25" s="83">
        <v>0.76328815488094359</v>
      </c>
      <c r="Q25" s="83">
        <v>0.80382881979097787</v>
      </c>
      <c r="R25" s="83">
        <v>0.79255942707655347</v>
      </c>
      <c r="S25" s="83">
        <v>0.7897237098059332</v>
      </c>
      <c r="T25" s="83">
        <v>0.82052903461654614</v>
      </c>
      <c r="U25" s="83">
        <v>0.88035738638174399</v>
      </c>
      <c r="V25" s="83">
        <v>5.9540031263184662E-2</v>
      </c>
      <c r="W25" s="83">
        <v>1.8023552513907897E-2</v>
      </c>
      <c r="X25" s="83">
        <v>2.1972628608247821E-2</v>
      </c>
      <c r="Y25" s="83">
        <v>9.597020058578333E-2</v>
      </c>
      <c r="Z25" s="83">
        <v>6.5778033024784903E-3</v>
      </c>
      <c r="AA25" s="83">
        <v>1.0585467203631098E-2</v>
      </c>
      <c r="AB25" s="83">
        <v>1.2069754387289383E-2</v>
      </c>
      <c r="AC25" s="83">
        <v>1.7499994501799263E-2</v>
      </c>
      <c r="AD25" s="83">
        <v>1.3217508054564944E-2</v>
      </c>
      <c r="AE25" s="83">
        <v>1.1463789555033847E-2</v>
      </c>
      <c r="AF25" s="83">
        <v>1.4075779024571288E-2</v>
      </c>
      <c r="AG25" s="83">
        <v>9.8383621374408106E-2</v>
      </c>
      <c r="AH25" s="83">
        <v>2.7002239378538132E-2</v>
      </c>
      <c r="AI25" s="83">
        <v>5.5709359622923499E-3</v>
      </c>
      <c r="AJ25" s="83">
        <v>1.0796551199851134E-2</v>
      </c>
      <c r="AK25" s="83">
        <v>3.5799775922160638E-2</v>
      </c>
      <c r="AL25" s="83">
        <v>1.5276453062484397E-2</v>
      </c>
      <c r="AM25" s="83">
        <v>8.2761407546124727E-3</v>
      </c>
      <c r="AN25" s="83">
        <v>3.4081663877536493E-2</v>
      </c>
      <c r="AO25" s="83">
        <v>2.6995854496923648E-2</v>
      </c>
      <c r="AP25" s="83">
        <v>0.54568243824651352</v>
      </c>
      <c r="AQ25" s="83">
        <v>0.54928309352291171</v>
      </c>
      <c r="AR25" s="83">
        <v>0.55078629727449946</v>
      </c>
      <c r="AS25" s="83">
        <v>0.55037390115888696</v>
      </c>
      <c r="AT25" s="83">
        <v>0.58508195249393535</v>
      </c>
      <c r="AU25" s="83">
        <v>0.57354157975013143</v>
      </c>
      <c r="AV25" s="83">
        <v>0.62313372296514635</v>
      </c>
      <c r="AW25" s="83">
        <v>0.7158116465288622</v>
      </c>
      <c r="AX25" s="83">
        <v>0.73669024260205729</v>
      </c>
      <c r="AY25" s="83">
        <v>0.7459246552955443</v>
      </c>
      <c r="AZ25" s="83">
        <v>0.74763792687359465</v>
      </c>
      <c r="BA25" s="83">
        <v>0.7122262441511199</v>
      </c>
      <c r="BB25" s="83">
        <v>0.70719869412827174</v>
      </c>
      <c r="BC25" s="83">
        <v>0.66881818238739021</v>
      </c>
      <c r="BD25" s="83">
        <v>0.67606591171056829</v>
      </c>
      <c r="BE25" s="83">
        <v>0.68764934551212564</v>
      </c>
      <c r="BF25" s="83">
        <v>0.67608732136344141</v>
      </c>
      <c r="BG25" s="83">
        <v>0.68444427539860486</v>
      </c>
      <c r="BH25" s="83">
        <v>0.69361293463791607</v>
      </c>
      <c r="BI25" s="83">
        <v>0.69925887153798139</v>
      </c>
    </row>
    <row r="26" spans="2:61" s="82" customFormat="1">
      <c r="B26" s="83">
        <v>0.36569564727288734</v>
      </c>
      <c r="C26" s="83">
        <v>0.36569564727288734</v>
      </c>
      <c r="D26" s="83">
        <v>0.36100614430470218</v>
      </c>
      <c r="E26" s="83">
        <v>0.41135531167302586</v>
      </c>
      <c r="F26" s="83">
        <v>0.69053632954340438</v>
      </c>
      <c r="G26" s="83">
        <v>0.77699912219767753</v>
      </c>
      <c r="H26" s="83">
        <v>0.78959568695105065</v>
      </c>
      <c r="I26" s="83">
        <v>0.81285967953671112</v>
      </c>
      <c r="J26" s="83">
        <v>0.7994051379895063</v>
      </c>
      <c r="K26" s="83">
        <v>0.76302167391501974</v>
      </c>
      <c r="L26" s="83">
        <v>0.74270812799995978</v>
      </c>
      <c r="M26" s="83">
        <v>0.60109441404405428</v>
      </c>
      <c r="N26" s="83">
        <v>0.62639633914812387</v>
      </c>
      <c r="O26" s="83">
        <v>0.63974569201831477</v>
      </c>
      <c r="P26" s="83">
        <v>0.61917000586058335</v>
      </c>
      <c r="Q26" s="83">
        <v>0.67514829564190182</v>
      </c>
      <c r="R26" s="83">
        <v>0.66910483577255997</v>
      </c>
      <c r="S26" s="83">
        <v>0.65234989761760742</v>
      </c>
      <c r="T26" s="83">
        <v>0.68834413052043608</v>
      </c>
      <c r="U26" s="83">
        <v>0.75263484097001543</v>
      </c>
      <c r="V26" s="83">
        <v>0.16887449073749919</v>
      </c>
      <c r="W26" s="83">
        <v>0.16887449073749919</v>
      </c>
      <c r="X26" s="83">
        <v>0.26217479448744796</v>
      </c>
      <c r="Y26" s="83">
        <v>0.22948143518929717</v>
      </c>
      <c r="Z26" s="83">
        <v>0.16033244230766566</v>
      </c>
      <c r="AA26" s="83">
        <v>0.12196284503135317</v>
      </c>
      <c r="AB26" s="83">
        <v>0.16673259475042923</v>
      </c>
      <c r="AC26" s="83">
        <v>0.16519889816694233</v>
      </c>
      <c r="AD26" s="83">
        <v>0.17857627727651809</v>
      </c>
      <c r="AE26" s="83">
        <v>0.17424928988622715</v>
      </c>
      <c r="AF26" s="83">
        <v>0.20778380160989432</v>
      </c>
      <c r="AG26" s="83">
        <v>0.24251518760423563</v>
      </c>
      <c r="AH26" s="83">
        <v>0.24999596250756681</v>
      </c>
      <c r="AI26" s="83">
        <v>0.22976886154010143</v>
      </c>
      <c r="AJ26" s="83">
        <v>0.24959560195283395</v>
      </c>
      <c r="AK26" s="83">
        <v>0.29464998494264516</v>
      </c>
      <c r="AL26" s="83">
        <v>0.25523624618633073</v>
      </c>
      <c r="AM26" s="83">
        <v>0.21336833767063609</v>
      </c>
      <c r="AN26" s="83">
        <v>0.27621147387420319</v>
      </c>
      <c r="AO26" s="83">
        <v>0.21189467698448219</v>
      </c>
      <c r="AP26" s="83">
        <v>2.9992986878289893</v>
      </c>
      <c r="AQ26" s="83">
        <v>2.9992986878289893</v>
      </c>
      <c r="AR26" s="83">
        <v>3.0332117091203483</v>
      </c>
      <c r="AS26" s="83">
        <v>1.8870428889557114</v>
      </c>
      <c r="AT26" s="83">
        <v>1.6111224753182505</v>
      </c>
      <c r="AU26" s="83">
        <v>1.663099958977164</v>
      </c>
      <c r="AV26" s="83">
        <v>1.6507233723533405</v>
      </c>
      <c r="AW26" s="83">
        <v>0.58762888647947831</v>
      </c>
      <c r="AX26" s="83">
        <v>0.57468843241874845</v>
      </c>
      <c r="AY26" s="83">
        <v>0.56701979039400363</v>
      </c>
      <c r="AZ26" s="83">
        <v>0.56717818884585669</v>
      </c>
      <c r="BA26" s="83">
        <v>0.53515315894220938</v>
      </c>
      <c r="BB26" s="83">
        <v>0.5504817424592171</v>
      </c>
      <c r="BC26" s="83">
        <v>0.55346152522292758</v>
      </c>
      <c r="BD26" s="83">
        <v>0.55130472618729576</v>
      </c>
      <c r="BE26" s="83">
        <v>0.57341528184630552</v>
      </c>
      <c r="BF26" s="83">
        <v>0.5619592641966914</v>
      </c>
      <c r="BG26" s="83">
        <v>0.55354212422486371</v>
      </c>
      <c r="BH26" s="83">
        <v>0.54330862025634585</v>
      </c>
      <c r="BI26" s="83">
        <v>0.47665086129543505</v>
      </c>
    </row>
    <row r="27" spans="2:61" s="82" customFormat="1">
      <c r="B27" s="83">
        <v>0.40982540033609954</v>
      </c>
      <c r="C27" s="83">
        <v>0.37826785737207713</v>
      </c>
      <c r="D27" s="83">
        <v>0.50151623074757401</v>
      </c>
      <c r="E27" s="83">
        <v>0.56236375615469714</v>
      </c>
      <c r="F27" s="83">
        <v>0.58135110625972497</v>
      </c>
      <c r="G27" s="83">
        <v>0.53899838622873697</v>
      </c>
      <c r="H27" s="83">
        <v>0.48951806473696463</v>
      </c>
      <c r="I27" s="83">
        <v>0.42346681940678682</v>
      </c>
      <c r="J27" s="83">
        <v>0.46260512718628805</v>
      </c>
      <c r="K27" s="83">
        <v>0.71563737280237905</v>
      </c>
      <c r="L27" s="83">
        <v>0.65574474991627041</v>
      </c>
      <c r="M27" s="83">
        <v>0.40126240519625966</v>
      </c>
      <c r="N27" s="83">
        <v>0.3885411440622249</v>
      </c>
      <c r="O27" s="83">
        <v>0.46658861487127107</v>
      </c>
      <c r="P27" s="83">
        <v>0.34736534454878237</v>
      </c>
      <c r="Q27" s="83">
        <v>0.52079713611562495</v>
      </c>
      <c r="R27" s="83">
        <v>0.55302218629522559</v>
      </c>
      <c r="S27" s="83">
        <v>0.44759458371112848</v>
      </c>
      <c r="T27" s="83">
        <v>0.44217373511990365</v>
      </c>
      <c r="U27" s="83">
        <v>0.45349222043031562</v>
      </c>
      <c r="V27" s="83">
        <v>0.10868558915455817</v>
      </c>
      <c r="W27" s="83">
        <v>0.11179878511807231</v>
      </c>
      <c r="X27" s="83">
        <v>0.11240766621793907</v>
      </c>
      <c r="Y27" s="83">
        <v>0.11565268336172449</v>
      </c>
      <c r="Z27" s="83">
        <v>0.1071491383736476</v>
      </c>
      <c r="AA27" s="83">
        <v>0.11343624024273292</v>
      </c>
      <c r="AB27" s="83">
        <v>0.11545839763719469</v>
      </c>
      <c r="AC27" s="83">
        <v>0.11681717409428734</v>
      </c>
      <c r="AD27" s="83">
        <v>0.1167934267132458</v>
      </c>
      <c r="AE27" s="83">
        <v>0.10851986450174522</v>
      </c>
      <c r="AF27" s="83">
        <v>0.1155630123269145</v>
      </c>
      <c r="AG27" s="83">
        <v>0.13144466687996753</v>
      </c>
      <c r="AH27" s="83">
        <v>0.10771616256569612</v>
      </c>
      <c r="AI27" s="83">
        <v>0.11159314839724659</v>
      </c>
      <c r="AJ27" s="83">
        <v>0.1165924025999821</v>
      </c>
      <c r="AK27" s="83">
        <v>0.1075292396850442</v>
      </c>
      <c r="AL27" s="83">
        <v>0.10390061443690705</v>
      </c>
      <c r="AM27" s="83">
        <v>0.11583480448813167</v>
      </c>
      <c r="AN27" s="83">
        <v>0.1139666524284562</v>
      </c>
      <c r="AO27" s="83">
        <v>0.11999751678508325</v>
      </c>
      <c r="AP27" s="83">
        <v>0.78680760273003747</v>
      </c>
      <c r="AQ27" s="83">
        <v>0.7892112618994751</v>
      </c>
      <c r="AR27" s="83">
        <v>0.81342102080330347</v>
      </c>
      <c r="AS27" s="83">
        <v>0.78177776893318263</v>
      </c>
      <c r="AT27" s="83">
        <v>0.78410530154487157</v>
      </c>
      <c r="AU27" s="83">
        <v>0.78084266441386407</v>
      </c>
      <c r="AV27" s="83">
        <v>0.78512898884852111</v>
      </c>
      <c r="AW27" s="83">
        <v>0.79430303953217285</v>
      </c>
      <c r="AX27" s="83">
        <v>0.79096772835344309</v>
      </c>
      <c r="AY27" s="83">
        <v>0.7364192590877594</v>
      </c>
      <c r="AZ27" s="83">
        <v>0.74601386144340787</v>
      </c>
      <c r="BA27" s="83">
        <v>0.85519135655755363</v>
      </c>
      <c r="BB27" s="83">
        <v>0.74489160274124666</v>
      </c>
      <c r="BC27" s="83">
        <v>0.71008528269652316</v>
      </c>
      <c r="BD27" s="83">
        <v>0.73473918835981289</v>
      </c>
      <c r="BE27" s="83">
        <v>0.75062768050205919</v>
      </c>
      <c r="BF27" s="83">
        <v>0.74542056652914157</v>
      </c>
      <c r="BG27" s="83">
        <v>0.74375234813922542</v>
      </c>
      <c r="BH27" s="83">
        <v>0.74117831636761788</v>
      </c>
      <c r="BI27" s="83">
        <v>0.70617040466143577</v>
      </c>
    </row>
    <row r="28" spans="2:61" s="82" customFormat="1">
      <c r="B28" s="83">
        <v>0.61908768198664521</v>
      </c>
      <c r="C28" s="83">
        <v>0.53838835764640192</v>
      </c>
      <c r="D28" s="83">
        <v>0.51024284683818222</v>
      </c>
      <c r="E28" s="83">
        <v>1.0768694646851504</v>
      </c>
      <c r="F28" s="83">
        <v>0.27697119107863105</v>
      </c>
      <c r="G28" s="83">
        <v>0.7361105600904555</v>
      </c>
      <c r="H28" s="83">
        <v>0.76946332874174939</v>
      </c>
      <c r="I28" s="83">
        <v>0.52039315476812353</v>
      </c>
      <c r="J28" s="83">
        <v>1.0094816168295677</v>
      </c>
      <c r="K28" s="83">
        <v>1.0530368287347309</v>
      </c>
      <c r="L28" s="83">
        <v>0.60527121261788697</v>
      </c>
      <c r="M28" s="83">
        <v>0.67114283943351649</v>
      </c>
      <c r="N28" s="83">
        <v>0.65449000826619153</v>
      </c>
      <c r="O28" s="83">
        <v>0.6974214034956796</v>
      </c>
      <c r="P28" s="83">
        <v>0.69762500120992332</v>
      </c>
      <c r="Q28" s="83">
        <v>0.66077439187007847</v>
      </c>
      <c r="R28" s="83">
        <v>0.44695225728159388</v>
      </c>
      <c r="S28" s="83">
        <v>0.40486821320847999</v>
      </c>
      <c r="T28" s="83">
        <v>0.36122536153921708</v>
      </c>
      <c r="U28" s="83">
        <v>0.34749868016543523</v>
      </c>
      <c r="V28" s="83">
        <v>0.10781868628612401</v>
      </c>
      <c r="W28" s="83">
        <v>0.10066659042266407</v>
      </c>
      <c r="X28" s="83">
        <v>6.6279403834712189E-2</v>
      </c>
      <c r="Y28" s="83">
        <v>8.167983231368213E-2</v>
      </c>
      <c r="Z28" s="83">
        <v>0.11179128876999979</v>
      </c>
      <c r="AA28" s="83">
        <v>0.1062219010562182</v>
      </c>
      <c r="AB28" s="83">
        <v>7.2691211636514166E-2</v>
      </c>
      <c r="AC28" s="83">
        <v>0.11985260051348233</v>
      </c>
      <c r="AD28" s="83">
        <v>0.11899669252848753</v>
      </c>
      <c r="AE28" s="83">
        <v>0.14014933447257527</v>
      </c>
      <c r="AF28" s="83">
        <v>0.1590390650651827</v>
      </c>
      <c r="AG28" s="83">
        <v>0.148240390428861</v>
      </c>
      <c r="AH28" s="83">
        <v>0.14466928268351603</v>
      </c>
      <c r="AI28" s="83">
        <v>0.1726529863745353</v>
      </c>
      <c r="AJ28" s="83">
        <v>0.17016934087557864</v>
      </c>
      <c r="AK28" s="83">
        <v>0.13531964110585212</v>
      </c>
      <c r="AL28" s="83">
        <v>0.12502648276612255</v>
      </c>
      <c r="AM28" s="83">
        <v>0.21915562599894969</v>
      </c>
      <c r="AN28" s="83">
        <v>9.7557981112600653E-2</v>
      </c>
      <c r="AO28" s="83">
        <v>9.5379669835656822E-2</v>
      </c>
      <c r="AP28" s="83">
        <v>0.58118198793109299</v>
      </c>
      <c r="AQ28" s="83">
        <v>0.57697240511706183</v>
      </c>
      <c r="AR28" s="83">
        <v>0.60223951836985279</v>
      </c>
      <c r="AS28" s="83">
        <v>0.62152743843698777</v>
      </c>
      <c r="AT28" s="83">
        <v>0.89168299245175209</v>
      </c>
      <c r="AU28" s="83">
        <v>0.93197235256790767</v>
      </c>
      <c r="AV28" s="83">
        <v>0.85820976566389617</v>
      </c>
      <c r="AW28" s="83">
        <v>0.87182225363344024</v>
      </c>
      <c r="AX28" s="83">
        <v>0.87129142836818685</v>
      </c>
      <c r="AY28" s="83">
        <v>0.85282360361095699</v>
      </c>
      <c r="AZ28" s="83">
        <v>0.88609770708260915</v>
      </c>
      <c r="BA28" s="83">
        <v>0.8757406235330798</v>
      </c>
      <c r="BB28" s="83">
        <v>0.84980639567360849</v>
      </c>
      <c r="BC28" s="83">
        <v>0.85784570134313554</v>
      </c>
      <c r="BD28" s="83">
        <v>0.84909421127534845</v>
      </c>
      <c r="BE28" s="83">
        <v>0.83884858100829462</v>
      </c>
      <c r="BF28" s="83">
        <v>0.81205457568442541</v>
      </c>
      <c r="BG28" s="83">
        <v>0.80805933002740749</v>
      </c>
      <c r="BH28" s="83">
        <v>0.80576099765603515</v>
      </c>
      <c r="BI28" s="83">
        <v>0.81328286760992818</v>
      </c>
    </row>
    <row r="29" spans="2:61" s="82" customFormat="1">
      <c r="B29" s="83">
        <v>0.11266764866508194</v>
      </c>
      <c r="C29" s="83">
        <v>0.10898651352932384</v>
      </c>
      <c r="D29" s="83">
        <v>0.11727284343629762</v>
      </c>
      <c r="E29" s="83">
        <v>0.10643338425372668</v>
      </c>
      <c r="F29" s="83">
        <v>9.4237348321541112E-2</v>
      </c>
      <c r="G29" s="83">
        <v>0.10249153351421576</v>
      </c>
      <c r="H29" s="83">
        <v>0.10598605921457405</v>
      </c>
      <c r="I29" s="83">
        <v>6.0137529093598936E-2</v>
      </c>
      <c r="J29" s="83">
        <v>6.9751820944479279E-2</v>
      </c>
      <c r="K29" s="83">
        <v>8.0640724405409647E-2</v>
      </c>
      <c r="L29" s="83">
        <v>9.7125701788669777E-2</v>
      </c>
      <c r="M29" s="83">
        <v>0.11342090324673983</v>
      </c>
      <c r="N29" s="83">
        <v>0.12974075933335408</v>
      </c>
      <c r="O29" s="83">
        <v>0.13305753417666449</v>
      </c>
      <c r="P29" s="83">
        <v>0.13274568883565524</v>
      </c>
      <c r="Q29" s="83">
        <v>8.5174609110542046E-2</v>
      </c>
      <c r="R29" s="83">
        <v>9.1899702266520764E-2</v>
      </c>
      <c r="S29" s="83">
        <v>8.8516752352660405E-2</v>
      </c>
      <c r="T29" s="83">
        <v>0.10064581586933127</v>
      </c>
      <c r="U29" s="83">
        <v>0.10157754897193985</v>
      </c>
      <c r="V29" s="83">
        <v>3.5939961500855946E-2</v>
      </c>
      <c r="W29" s="83">
        <v>3.3186230788947356E-2</v>
      </c>
      <c r="X29" s="83">
        <v>3.8054463239442934E-2</v>
      </c>
      <c r="Y29" s="83">
        <v>6.7012886640280517E-2</v>
      </c>
      <c r="Z29" s="83">
        <v>6.2224594582611405E-2</v>
      </c>
      <c r="AA29" s="83">
        <v>7.0404757961119183E-2</v>
      </c>
      <c r="AB29" s="83">
        <v>6.9480515398607876E-2</v>
      </c>
      <c r="AC29" s="83">
        <v>0.10199839231054542</v>
      </c>
      <c r="AD29" s="83">
        <v>0.10134527489006466</v>
      </c>
      <c r="AE29" s="83">
        <v>0.12442615705031941</v>
      </c>
      <c r="AF29" s="83">
        <v>0.13788751555706855</v>
      </c>
      <c r="AG29" s="83">
        <v>0.13228124817989609</v>
      </c>
      <c r="AH29" s="83">
        <v>0.14446007255242152</v>
      </c>
      <c r="AI29" s="83">
        <v>4.8404390079216063E-2</v>
      </c>
      <c r="AJ29" s="83">
        <v>0.13343747406251943</v>
      </c>
      <c r="AK29" s="83">
        <v>0.44637955801177981</v>
      </c>
      <c r="AL29" s="83">
        <v>0.14381824869362836</v>
      </c>
      <c r="AM29" s="83">
        <v>0.12697236903539488</v>
      </c>
      <c r="AN29" s="83">
        <v>0.13094467832009715</v>
      </c>
      <c r="AO29" s="83">
        <v>0.11867097248189309</v>
      </c>
      <c r="AP29" s="83">
        <v>1.1052050365624837</v>
      </c>
      <c r="AQ29" s="83">
        <v>1.1125598218405344</v>
      </c>
      <c r="AR29" s="83">
        <v>1.1224716928577541</v>
      </c>
      <c r="AS29" s="83">
        <v>1.6483929140740645</v>
      </c>
      <c r="AT29" s="83">
        <v>1.8604526947307687</v>
      </c>
      <c r="AU29" s="83">
        <v>1.7026874779097021</v>
      </c>
      <c r="AV29" s="83">
        <v>1.7571662622192743</v>
      </c>
      <c r="AW29" s="83">
        <v>1.9253399840814984</v>
      </c>
      <c r="AX29" s="83">
        <v>1.7890613288480133</v>
      </c>
      <c r="AY29" s="83">
        <v>1.766481726472076</v>
      </c>
      <c r="AZ29" s="83">
        <v>1.7338350724697769</v>
      </c>
      <c r="BA29" s="83">
        <v>1.834645503391251</v>
      </c>
      <c r="BB29" s="83">
        <v>1.8336603609794213</v>
      </c>
      <c r="BC29" s="83">
        <v>1.9389467387022752</v>
      </c>
      <c r="BD29" s="83">
        <v>1.7766060394923382</v>
      </c>
      <c r="BE29" s="83">
        <v>2.206711139479268</v>
      </c>
      <c r="BF29" s="83">
        <v>2.1384778876454273</v>
      </c>
      <c r="BG29" s="83">
        <v>2.1441070349921754</v>
      </c>
      <c r="BH29" s="83">
        <v>2.228843054760322</v>
      </c>
      <c r="BI29" s="83">
        <v>2.3011464507179711</v>
      </c>
    </row>
    <row r="30" spans="2:61" s="82" customFormat="1">
      <c r="B30" s="83">
        <v>1.0449306395186064</v>
      </c>
      <c r="C30" s="83">
        <v>1.1174732320977634</v>
      </c>
      <c r="D30" s="83">
        <v>1.1139478137209</v>
      </c>
      <c r="E30" s="83">
        <v>1.0102406040596998</v>
      </c>
      <c r="F30" s="83">
        <v>0.89120483898673808</v>
      </c>
      <c r="G30" s="83">
        <v>0.83252051684169548</v>
      </c>
      <c r="H30" s="83">
        <v>0.85272663331613985</v>
      </c>
      <c r="I30" s="83">
        <v>0.82683588836663857</v>
      </c>
      <c r="J30" s="83">
        <v>0.81422020745012913</v>
      </c>
      <c r="K30" s="83">
        <v>0.88072366311394368</v>
      </c>
      <c r="L30" s="83">
        <v>0.89567391505484328</v>
      </c>
      <c r="M30" s="83">
        <v>1.1329462939830421</v>
      </c>
      <c r="N30" s="83">
        <v>1.1623252165379143</v>
      </c>
      <c r="O30" s="83">
        <v>1.2292304073117637</v>
      </c>
      <c r="P30" s="83">
        <v>1.0385382433016332</v>
      </c>
      <c r="Q30" s="83">
        <v>1.0019588598936808</v>
      </c>
      <c r="R30" s="83">
        <v>1.0473826643897273</v>
      </c>
      <c r="S30" s="83">
        <v>1.0322661545566609</v>
      </c>
      <c r="T30" s="83">
        <v>0.94471646126476305</v>
      </c>
      <c r="U30" s="83">
        <v>1.0000498007558192</v>
      </c>
      <c r="V30" s="83">
        <v>0.15629399556536147</v>
      </c>
      <c r="W30" s="83">
        <v>0.21460188193032434</v>
      </c>
      <c r="X30" s="83">
        <v>0.18108214575628834</v>
      </c>
      <c r="Y30" s="83">
        <v>0.20883817004586203</v>
      </c>
      <c r="Z30" s="83">
        <v>0.1529231985744223</v>
      </c>
      <c r="AA30" s="83">
        <v>0.15185446043074871</v>
      </c>
      <c r="AB30" s="83">
        <v>0.13844155446787393</v>
      </c>
      <c r="AC30" s="83">
        <v>0.1720964882556924</v>
      </c>
      <c r="AD30" s="83">
        <v>0.1472586512914468</v>
      </c>
      <c r="AE30" s="83">
        <v>0.1810588903289134</v>
      </c>
      <c r="AF30" s="83">
        <v>0.14580131611235048</v>
      </c>
      <c r="AG30" s="83">
        <v>0.19570979791793</v>
      </c>
      <c r="AH30" s="83">
        <v>0.17839015794403421</v>
      </c>
      <c r="AI30" s="83">
        <v>0.21293127730532826</v>
      </c>
      <c r="AJ30" s="83">
        <v>0.19850528848316254</v>
      </c>
      <c r="AK30" s="83">
        <v>0.20759417001506042</v>
      </c>
      <c r="AL30" s="83">
        <v>0.18410295054663178</v>
      </c>
      <c r="AM30" s="83">
        <v>0.22662959137694857</v>
      </c>
      <c r="AN30" s="83">
        <v>0.20311715205238737</v>
      </c>
      <c r="AO30" s="83">
        <v>0.21111270444977726</v>
      </c>
      <c r="AP30" s="83">
        <v>0.64773118517843631</v>
      </c>
      <c r="AQ30" s="83">
        <v>0.64459075246930375</v>
      </c>
      <c r="AR30" s="83">
        <v>0.66266135887520272</v>
      </c>
      <c r="AS30" s="83">
        <v>0.64693363621355982</v>
      </c>
      <c r="AT30" s="83">
        <v>0.69322027030053868</v>
      </c>
      <c r="AU30" s="83">
        <v>0.70915491122246765</v>
      </c>
      <c r="AV30" s="83">
        <v>0.71795403120062717</v>
      </c>
      <c r="AW30" s="83">
        <v>0.78525061779423388</v>
      </c>
      <c r="AX30" s="83">
        <v>0.80853544146096612</v>
      </c>
      <c r="AY30" s="83">
        <v>0.74413286266863499</v>
      </c>
      <c r="AZ30" s="83">
        <v>0.73384522330126833</v>
      </c>
      <c r="BA30" s="83">
        <v>0.73745610302511699</v>
      </c>
      <c r="BB30" s="83">
        <v>0.68690139391964389</v>
      </c>
      <c r="BC30" s="83">
        <v>0.66002455481627209</v>
      </c>
      <c r="BD30" s="83">
        <v>0.67695843647901832</v>
      </c>
      <c r="BE30" s="83">
        <v>0.66926226898682006</v>
      </c>
      <c r="BF30" s="83">
        <v>0.69268067427679925</v>
      </c>
      <c r="BG30" s="83">
        <v>0.68051320666151638</v>
      </c>
      <c r="BH30" s="83">
        <v>0.66696988782768241</v>
      </c>
      <c r="BI30" s="83">
        <v>0.64099831181651279</v>
      </c>
    </row>
    <row r="31" spans="2:61" s="82" customFormat="1">
      <c r="B31" s="83">
        <v>1.1423766241331679</v>
      </c>
      <c r="C31" s="83">
        <v>0.97939989771287062</v>
      </c>
      <c r="D31" s="83">
        <v>0.87558420127427927</v>
      </c>
      <c r="E31" s="83">
        <v>0.7898772392619382</v>
      </c>
      <c r="F31" s="83">
        <v>0.62133370821940159</v>
      </c>
      <c r="G31" s="83">
        <v>0.53995950763048628</v>
      </c>
      <c r="H31" s="83">
        <v>0.55367231894180613</v>
      </c>
      <c r="I31" s="83">
        <v>0.53724802262329019</v>
      </c>
      <c r="J31" s="83">
        <v>0.48789122848347544</v>
      </c>
      <c r="K31" s="83">
        <v>0.47789648081623581</v>
      </c>
      <c r="L31" s="83">
        <v>0.48601697628713553</v>
      </c>
      <c r="M31" s="83">
        <v>0.48441851378611911</v>
      </c>
      <c r="N31" s="83">
        <v>0.44265890610327663</v>
      </c>
      <c r="O31" s="83">
        <v>0.42717883435319981</v>
      </c>
      <c r="P31" s="83">
        <v>0.40369987622101672</v>
      </c>
      <c r="Q31" s="83">
        <v>0.37442389243727286</v>
      </c>
      <c r="R31" s="83">
        <v>0.3482163960475998</v>
      </c>
      <c r="S31" s="83">
        <v>0.35124159840284896</v>
      </c>
      <c r="T31" s="83">
        <v>0.38675989309134395</v>
      </c>
      <c r="U31" s="83">
        <v>0.36755898116209834</v>
      </c>
      <c r="V31" s="83">
        <v>5.5098128833802364E-2</v>
      </c>
      <c r="W31" s="83">
        <v>6.2521596893013967E-2</v>
      </c>
      <c r="X31" s="83">
        <v>7.0513456078758516E-2</v>
      </c>
      <c r="Y31" s="83">
        <v>6.3495980268232041E-2</v>
      </c>
      <c r="Z31" s="83">
        <v>5.3573422113993935E-2</v>
      </c>
      <c r="AA31" s="83">
        <v>5.3989846309850757E-2</v>
      </c>
      <c r="AB31" s="83">
        <v>4.9855200614206438E-2</v>
      </c>
      <c r="AC31" s="83">
        <v>4.9003271302380413E-2</v>
      </c>
      <c r="AD31" s="83">
        <v>6.2943136351534063E-2</v>
      </c>
      <c r="AE31" s="83">
        <v>5.069659016469362E-2</v>
      </c>
      <c r="AF31" s="83">
        <v>5.5207717064154074E-2</v>
      </c>
      <c r="AG31" s="83">
        <v>4.6809097219039857E-2</v>
      </c>
      <c r="AH31" s="83">
        <v>5.703744802367447E-2</v>
      </c>
      <c r="AI31" s="83">
        <v>5.5351232754331681E-2</v>
      </c>
      <c r="AJ31" s="83">
        <v>5.4647372377046095E-2</v>
      </c>
      <c r="AK31" s="83">
        <v>4.5906187717794658E-2</v>
      </c>
      <c r="AL31" s="83">
        <v>4.1709851196250813E-2</v>
      </c>
      <c r="AM31" s="83">
        <v>3.8173413539174063E-2</v>
      </c>
      <c r="AN31" s="83">
        <v>3.2103697797676668E-2</v>
      </c>
      <c r="AO31" s="83">
        <v>3.1618072131654754E-2</v>
      </c>
      <c r="AP31" s="83">
        <v>0.78909498514446297</v>
      </c>
      <c r="AQ31" s="83">
        <v>0.80698139027716564</v>
      </c>
      <c r="AR31" s="83">
        <v>0.89020105876350519</v>
      </c>
      <c r="AS31" s="83">
        <v>0.84409045898303015</v>
      </c>
      <c r="AT31" s="83">
        <v>0.86600912114397022</v>
      </c>
      <c r="AU31" s="83">
        <v>0.98639084330957527</v>
      </c>
      <c r="AV31" s="83">
        <v>0.94843596391990281</v>
      </c>
      <c r="AW31" s="83">
        <v>1.0588538236409195</v>
      </c>
      <c r="AX31" s="83">
        <v>1.0413122242363257</v>
      </c>
      <c r="AY31" s="83">
        <v>0.99387786361888086</v>
      </c>
      <c r="AZ31" s="83">
        <v>1.053944030679991</v>
      </c>
      <c r="BA31" s="83">
        <v>0.98855736221107693</v>
      </c>
      <c r="BB31" s="83">
        <v>1.1392936483017513</v>
      </c>
      <c r="BC31" s="83">
        <v>1.1689654330096539</v>
      </c>
      <c r="BD31" s="83">
        <v>1.2238784964761666</v>
      </c>
      <c r="BE31" s="83">
        <v>1.1726148167042107</v>
      </c>
      <c r="BF31" s="83">
        <v>1.2469852729820095</v>
      </c>
      <c r="BG31" s="83">
        <v>1.195340488866613</v>
      </c>
      <c r="BH31" s="83">
        <v>1.2259345606100258</v>
      </c>
      <c r="BI31" s="83">
        <v>1.2721453743218065</v>
      </c>
    </row>
    <row r="32" spans="2:61" s="82" customFormat="1"/>
    <row r="35" spans="1:31">
      <c r="A35" s="81" t="s">
        <v>196</v>
      </c>
      <c r="B35" s="81" t="s">
        <v>197</v>
      </c>
      <c r="D35" s="84">
        <v>9.3911999999999995E-2</v>
      </c>
    </row>
    <row r="36" spans="1:31">
      <c r="A36" s="81" t="s">
        <v>204</v>
      </c>
      <c r="B36" s="81" t="s">
        <v>221</v>
      </c>
      <c r="D36" s="81">
        <v>6.6475000000000006E-2</v>
      </c>
    </row>
    <row r="37" spans="1:31">
      <c r="A37" s="81" t="s">
        <v>199</v>
      </c>
      <c r="B37" s="81" t="s">
        <v>198</v>
      </c>
      <c r="C37" s="84"/>
      <c r="D37" s="84">
        <v>9.0785000000000005E-2</v>
      </c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</row>
    <row r="38" spans="1:31">
      <c r="A38" s="81" t="s">
        <v>206</v>
      </c>
      <c r="B38" s="81" t="s">
        <v>205</v>
      </c>
      <c r="C38"/>
      <c r="D38" s="84">
        <v>0.19219</v>
      </c>
      <c r="E38"/>
      <c r="F38"/>
      <c r="G38"/>
      <c r="H38"/>
      <c r="I38"/>
      <c r="J38"/>
      <c r="K38"/>
      <c r="L38"/>
      <c r="M38" s="85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>
      <c r="A39" s="81" t="s">
        <v>207</v>
      </c>
      <c r="B39" s="81" t="s">
        <v>214</v>
      </c>
      <c r="D39" s="84">
        <v>0.21693000000000001</v>
      </c>
    </row>
    <row r="40" spans="1:31">
      <c r="A40" s="81" t="s">
        <v>201</v>
      </c>
      <c r="B40" s="84" t="s">
        <v>200</v>
      </c>
      <c r="D40" s="84">
        <v>9.2880000000000004E-2</v>
      </c>
    </row>
    <row r="41" spans="1:31">
      <c r="A41" s="81" t="s">
        <v>208</v>
      </c>
      <c r="B41" s="81" t="s">
        <v>215</v>
      </c>
      <c r="D41" s="84">
        <v>0.31256</v>
      </c>
    </row>
    <row r="42" spans="1:31">
      <c r="A42" s="81" t="s">
        <v>209</v>
      </c>
      <c r="B42" s="81" t="s">
        <v>216</v>
      </c>
      <c r="D42" s="84">
        <v>0.45776</v>
      </c>
    </row>
    <row r="43" spans="1:31">
      <c r="A43" s="81" t="s">
        <v>210</v>
      </c>
      <c r="B43" s="81" t="s">
        <v>217</v>
      </c>
      <c r="D43" s="84">
        <v>0.22484000000000001</v>
      </c>
    </row>
    <row r="44" spans="1:31">
      <c r="A44" s="81" t="s">
        <v>211</v>
      </c>
      <c r="B44" s="81" t="s">
        <v>218</v>
      </c>
      <c r="D44" s="84">
        <v>0.18726000000000001</v>
      </c>
    </row>
    <row r="45" spans="1:31">
      <c r="A45" s="81" t="s">
        <v>203</v>
      </c>
      <c r="B45" s="85" t="s">
        <v>202</v>
      </c>
      <c r="D45" s="86">
        <v>0.41311999999999999</v>
      </c>
    </row>
    <row r="46" spans="1:31">
      <c r="A46" s="81" t="s">
        <v>212</v>
      </c>
      <c r="B46" s="81" t="s">
        <v>219</v>
      </c>
      <c r="D46" s="84">
        <v>0.38593</v>
      </c>
    </row>
    <row r="47" spans="1:31">
      <c r="A47" s="81" t="s">
        <v>213</v>
      </c>
      <c r="B47" s="81" t="s">
        <v>220</v>
      </c>
      <c r="D47" s="84">
        <v>0.61173999999999995</v>
      </c>
    </row>
    <row r="49" spans="2:4">
      <c r="B49" s="1">
        <f>MIN(B35:B47)</f>
        <v>0</v>
      </c>
      <c r="D49" s="87">
        <f>MIN(D35:D47)</f>
        <v>6.6475000000000006E-2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218F-DFBB-0842-9506-FDAB7C5ABDC5}">
  <dimension ref="B1:AE333"/>
  <sheetViews>
    <sheetView showGridLines="0" zoomScale="50" zoomScaleNormal="50" workbookViewId="0">
      <selection activeCell="B2" sqref="B2"/>
    </sheetView>
  </sheetViews>
  <sheetFormatPr baseColWidth="10" defaultRowHeight="16"/>
  <cols>
    <col min="1" max="1" width="10.83203125" style="45"/>
    <col min="2" max="2" width="4.83203125" style="76" customWidth="1"/>
    <col min="3" max="3" width="37.83203125" style="45" bestFit="1" customWidth="1"/>
    <col min="4" max="4" width="9.83203125" style="46" customWidth="1"/>
    <col min="5" max="7" width="20.5" style="115" customWidth="1"/>
    <col min="8" max="8" width="20.5" style="114" customWidth="1"/>
    <col min="9" max="15" width="20.5" style="115" customWidth="1"/>
    <col min="16" max="16" width="20.5" style="114" customWidth="1"/>
    <col min="17" max="19" width="20.5" style="115" customWidth="1"/>
    <col min="20" max="20" width="20.5" style="114" customWidth="1"/>
    <col min="21" max="23" width="20.5" style="115" customWidth="1"/>
    <col min="24" max="24" width="20.5" style="114" customWidth="1"/>
    <col min="25" max="25" width="3.33203125" style="45" customWidth="1"/>
    <col min="26" max="26" width="10.83203125" style="45"/>
    <col min="27" max="27" width="14.83203125" style="45" bestFit="1" customWidth="1"/>
    <col min="28" max="30" width="11" style="45" bestFit="1" customWidth="1"/>
    <col min="31" max="31" width="12.83203125" style="45" bestFit="1" customWidth="1"/>
    <col min="32" max="16384" width="10.83203125" style="45"/>
  </cols>
  <sheetData>
    <row r="1" spans="2:25"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 spans="2:25">
      <c r="B2" s="128" t="s">
        <v>0</v>
      </c>
      <c r="C2" s="129" t="s">
        <v>1</v>
      </c>
      <c r="D2" s="171">
        <v>2019</v>
      </c>
      <c r="E2" s="171"/>
      <c r="F2" s="171"/>
      <c r="G2" s="171"/>
      <c r="H2" s="172">
        <v>2020</v>
      </c>
      <c r="I2" s="172"/>
      <c r="J2" s="172"/>
      <c r="K2" s="172"/>
      <c r="L2" s="172">
        <v>2021</v>
      </c>
      <c r="M2" s="172"/>
      <c r="N2" s="172"/>
      <c r="O2" s="172"/>
      <c r="P2" s="172">
        <v>2022</v>
      </c>
      <c r="Q2" s="172"/>
      <c r="R2" s="172"/>
      <c r="S2" s="172"/>
      <c r="T2" s="172">
        <v>2023</v>
      </c>
      <c r="U2" s="172"/>
      <c r="V2" s="172"/>
      <c r="W2" s="172"/>
      <c r="X2" s="131"/>
    </row>
    <row r="3" spans="2:25" hidden="1">
      <c r="B3" s="78"/>
      <c r="C3" s="65"/>
      <c r="D3" s="125"/>
      <c r="E3" s="120"/>
      <c r="F3" s="119"/>
      <c r="G3" s="119"/>
      <c r="H3" s="119"/>
      <c r="I3" s="119">
        <f>I8</f>
        <v>96289714</v>
      </c>
      <c r="J3" s="119">
        <f>J8-I3</f>
        <v>-14651640</v>
      </c>
      <c r="K3" s="119">
        <f>K8-J3-I3</f>
        <v>-16026565</v>
      </c>
      <c r="L3" s="119">
        <f>L8-K3-J3-I3</f>
        <v>22313159</v>
      </c>
      <c r="M3" s="119">
        <f>M8</f>
        <v>82583429</v>
      </c>
      <c r="N3" s="119">
        <f>N8-M3</f>
        <v>52937824</v>
      </c>
      <c r="O3" s="119">
        <f>O8-N3-M3</f>
        <v>79885456</v>
      </c>
      <c r="P3" s="119">
        <f>P8-O3-N3-M3</f>
        <v>42454485</v>
      </c>
      <c r="Q3" s="119">
        <f>Q8</f>
        <v>117729865</v>
      </c>
      <c r="R3" s="119">
        <f>R8-Q3</f>
        <v>189828744</v>
      </c>
      <c r="S3" s="119">
        <f>S8-R3-Q3</f>
        <v>-9460133</v>
      </c>
      <c r="T3" s="119">
        <f>T8-S3-R3-Q3</f>
        <v>7530438</v>
      </c>
      <c r="U3" s="119">
        <f>U8</f>
        <v>272292653</v>
      </c>
      <c r="V3" s="119">
        <f>V8-U3</f>
        <v>49074153</v>
      </c>
      <c r="W3" s="119">
        <f>W8-V3-U3</f>
        <v>-58504927</v>
      </c>
      <c r="X3" s="119">
        <f>X8-W3-V3-U3</f>
        <v>14953389</v>
      </c>
      <c r="Y3" s="46"/>
    </row>
    <row r="4" spans="2:25" hidden="1">
      <c r="B4" s="78"/>
      <c r="C4" s="94"/>
      <c r="D4" s="68"/>
      <c r="E4" s="126" t="s">
        <v>5</v>
      </c>
      <c r="F4" s="126" t="s">
        <v>6</v>
      </c>
      <c r="G4" s="126" t="s">
        <v>7</v>
      </c>
      <c r="H4" s="126" t="s">
        <v>8</v>
      </c>
      <c r="I4" s="126" t="s">
        <v>5</v>
      </c>
      <c r="J4" s="126" t="s">
        <v>6</v>
      </c>
      <c r="K4" s="126" t="s">
        <v>7</v>
      </c>
      <c r="L4" s="126" t="s">
        <v>8</v>
      </c>
      <c r="M4" s="126" t="s">
        <v>5</v>
      </c>
      <c r="N4" s="126" t="s">
        <v>6</v>
      </c>
      <c r="O4" s="126" t="s">
        <v>7</v>
      </c>
      <c r="P4" s="126" t="s">
        <v>8</v>
      </c>
      <c r="Q4" s="126" t="s">
        <v>5</v>
      </c>
      <c r="R4" s="126" t="s">
        <v>6</v>
      </c>
      <c r="S4" s="126" t="s">
        <v>7</v>
      </c>
      <c r="T4" s="126" t="s">
        <v>8</v>
      </c>
      <c r="U4" s="126" t="s">
        <v>5</v>
      </c>
      <c r="V4" s="126" t="s">
        <v>6</v>
      </c>
      <c r="W4" s="126" t="s">
        <v>7</v>
      </c>
      <c r="X4" s="126" t="s">
        <v>8</v>
      </c>
    </row>
    <row r="5" spans="2:25" ht="17">
      <c r="B5" s="78">
        <v>1</v>
      </c>
      <c r="C5" s="63" t="s">
        <v>108</v>
      </c>
      <c r="D5" s="68" t="s">
        <v>111</v>
      </c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</row>
    <row r="6" spans="2:25">
      <c r="B6" s="78"/>
      <c r="C6" s="65" t="s">
        <v>58</v>
      </c>
      <c r="D6" s="91"/>
      <c r="E6" s="127">
        <v>77831740</v>
      </c>
      <c r="F6" s="127">
        <v>90824711</v>
      </c>
      <c r="G6" s="127">
        <v>90824711</v>
      </c>
      <c r="H6" s="127">
        <v>77537334</v>
      </c>
      <c r="I6" s="127">
        <v>84674939</v>
      </c>
      <c r="J6" s="127">
        <v>84674939</v>
      </c>
      <c r="K6" s="127">
        <v>84766948</v>
      </c>
      <c r="L6" s="127">
        <v>95968026</v>
      </c>
      <c r="M6" s="127">
        <v>107522110</v>
      </c>
      <c r="N6" s="127">
        <v>127563764</v>
      </c>
      <c r="O6" s="127">
        <v>180723773</v>
      </c>
      <c r="P6" s="127">
        <v>271784042</v>
      </c>
      <c r="Q6" s="127">
        <v>240244074</v>
      </c>
      <c r="R6" s="127">
        <v>240244074</v>
      </c>
      <c r="S6" s="127">
        <v>236335026</v>
      </c>
      <c r="T6" s="127">
        <v>213244699</v>
      </c>
      <c r="U6" s="127">
        <v>274783013</v>
      </c>
      <c r="V6" s="127">
        <v>288557601</v>
      </c>
      <c r="W6" s="127">
        <v>250661906</v>
      </c>
      <c r="X6" s="127">
        <v>211847038</v>
      </c>
      <c r="Y6" s="75"/>
    </row>
    <row r="7" spans="2:25">
      <c r="B7" s="78"/>
      <c r="C7" s="65" t="s">
        <v>59</v>
      </c>
      <c r="D7" s="91"/>
      <c r="E7" s="127">
        <v>75810810</v>
      </c>
      <c r="F7" s="127">
        <v>72989873</v>
      </c>
      <c r="G7" s="127">
        <v>72989873</v>
      </c>
      <c r="H7" s="127">
        <v>64264652</v>
      </c>
      <c r="I7" s="127">
        <v>63179149</v>
      </c>
      <c r="J7" s="127">
        <v>63179149</v>
      </c>
      <c r="K7" s="127">
        <v>55028469</v>
      </c>
      <c r="L7" s="127">
        <v>60853847</v>
      </c>
      <c r="M7" s="127">
        <v>59623012</v>
      </c>
      <c r="N7" s="127">
        <v>79626727</v>
      </c>
      <c r="O7" s="127">
        <v>112645186</v>
      </c>
      <c r="P7" s="127">
        <v>169686767</v>
      </c>
      <c r="Q7" s="127">
        <v>102601240</v>
      </c>
      <c r="R7" s="127">
        <v>102601240</v>
      </c>
      <c r="S7" s="127">
        <v>128763187</v>
      </c>
      <c r="T7" s="127">
        <v>171249024</v>
      </c>
      <c r="U7" s="127">
        <v>189898941</v>
      </c>
      <c r="V7" s="127">
        <v>202410416</v>
      </c>
      <c r="W7" s="127">
        <v>212148401</v>
      </c>
      <c r="X7" s="127">
        <v>153588431</v>
      </c>
      <c r="Y7" s="75"/>
    </row>
    <row r="8" spans="2:25" ht="17">
      <c r="B8" s="78"/>
      <c r="C8" s="94" t="s">
        <v>57</v>
      </c>
      <c r="D8" s="68"/>
      <c r="E8" s="127">
        <v>100210714</v>
      </c>
      <c r="F8" s="127">
        <v>105386609</v>
      </c>
      <c r="G8" s="127">
        <v>101118073</v>
      </c>
      <c r="H8" s="127">
        <v>111372095</v>
      </c>
      <c r="I8" s="127">
        <v>96289714</v>
      </c>
      <c r="J8" s="127">
        <v>81638074</v>
      </c>
      <c r="K8" s="127">
        <v>65611509</v>
      </c>
      <c r="L8" s="127">
        <v>87924668</v>
      </c>
      <c r="M8" s="127">
        <v>82583429</v>
      </c>
      <c r="N8" s="127">
        <v>135521253</v>
      </c>
      <c r="O8" s="127">
        <v>215406709</v>
      </c>
      <c r="P8" s="127">
        <v>257861194</v>
      </c>
      <c r="Q8" s="127">
        <v>117729865</v>
      </c>
      <c r="R8" s="127">
        <v>307558609</v>
      </c>
      <c r="S8" s="127">
        <v>298098476</v>
      </c>
      <c r="T8" s="127">
        <v>305628914</v>
      </c>
      <c r="U8" s="127">
        <v>272292653</v>
      </c>
      <c r="V8" s="127">
        <v>321366806</v>
      </c>
      <c r="W8" s="127">
        <v>262861879</v>
      </c>
      <c r="X8" s="127">
        <v>277815268</v>
      </c>
      <c r="Y8" s="75"/>
    </row>
    <row r="9" spans="2:25">
      <c r="B9" s="78"/>
      <c r="C9" s="65" t="s">
        <v>56</v>
      </c>
      <c r="D9" s="91"/>
      <c r="E9" s="127">
        <v>236830601</v>
      </c>
      <c r="F9" s="127">
        <v>252412944</v>
      </c>
      <c r="G9" s="127">
        <v>252412944</v>
      </c>
      <c r="H9" s="127">
        <v>250680316</v>
      </c>
      <c r="I9" s="127">
        <v>255119714</v>
      </c>
      <c r="J9" s="127">
        <v>255119714</v>
      </c>
      <c r="K9" s="127">
        <v>252446866</v>
      </c>
      <c r="L9" s="127">
        <v>263343768</v>
      </c>
      <c r="M9" s="127">
        <v>274441518</v>
      </c>
      <c r="N9" s="127">
        <v>282876347</v>
      </c>
      <c r="O9" s="127">
        <v>340122460</v>
      </c>
      <c r="P9" s="127">
        <v>435317386</v>
      </c>
      <c r="Q9" s="127">
        <v>420163287</v>
      </c>
      <c r="R9" s="127">
        <v>420163287</v>
      </c>
      <c r="S9" s="127">
        <v>417127531</v>
      </c>
      <c r="T9" s="127">
        <v>404831175</v>
      </c>
      <c r="U9" s="127">
        <v>470215676</v>
      </c>
      <c r="V9" s="127">
        <v>482271154</v>
      </c>
      <c r="W9" s="127">
        <v>450557369</v>
      </c>
      <c r="X9" s="127">
        <v>408454573</v>
      </c>
      <c r="Y9" s="75"/>
    </row>
    <row r="10" spans="2:25">
      <c r="B10" s="78"/>
      <c r="C10" s="65" t="s">
        <v>55</v>
      </c>
      <c r="D10" s="91"/>
      <c r="E10" s="127">
        <v>94359473</v>
      </c>
      <c r="F10" s="127">
        <v>89795580</v>
      </c>
      <c r="G10" s="127">
        <v>89795580</v>
      </c>
      <c r="H10" s="127">
        <v>80362658</v>
      </c>
      <c r="I10" s="127">
        <v>77185234</v>
      </c>
      <c r="J10" s="127">
        <v>77185234</v>
      </c>
      <c r="K10" s="127">
        <v>67773972</v>
      </c>
      <c r="L10" s="127">
        <v>72967723</v>
      </c>
      <c r="M10" s="127">
        <v>74394561</v>
      </c>
      <c r="N10" s="127">
        <v>93165104</v>
      </c>
      <c r="O10" s="127">
        <v>125030426</v>
      </c>
      <c r="P10" s="127">
        <v>182704693</v>
      </c>
      <c r="Q10" s="127">
        <v>113914716</v>
      </c>
      <c r="R10" s="127">
        <v>113914716</v>
      </c>
      <c r="S10" s="127">
        <v>141968106</v>
      </c>
      <c r="T10" s="127">
        <v>184353401</v>
      </c>
      <c r="U10" s="127">
        <v>203092837</v>
      </c>
      <c r="V10" s="127">
        <v>215702182</v>
      </c>
      <c r="W10" s="127">
        <v>224659462</v>
      </c>
      <c r="X10" s="127">
        <v>165971113</v>
      </c>
      <c r="Y10" s="75"/>
    </row>
    <row r="11" spans="2:25" ht="17">
      <c r="B11" s="78">
        <v>2</v>
      </c>
      <c r="C11" s="94" t="s">
        <v>109</v>
      </c>
      <c r="D11" s="68" t="s">
        <v>110</v>
      </c>
      <c r="E11" s="127"/>
      <c r="F11" s="126"/>
      <c r="G11" s="126"/>
      <c r="H11" s="126"/>
      <c r="I11" s="127"/>
      <c r="J11" s="126"/>
      <c r="K11" s="126"/>
      <c r="L11" s="126"/>
      <c r="M11" s="127"/>
      <c r="N11" s="126"/>
      <c r="O11" s="126"/>
      <c r="P11" s="126"/>
      <c r="Q11" s="127"/>
      <c r="R11" s="126"/>
      <c r="S11" s="126"/>
      <c r="T11" s="126"/>
      <c r="U11" s="127"/>
      <c r="V11" s="126"/>
      <c r="W11" s="126"/>
      <c r="X11" s="126"/>
      <c r="Y11" s="79"/>
    </row>
    <row r="12" spans="2:25">
      <c r="B12" s="78"/>
      <c r="C12" s="65" t="s">
        <v>58</v>
      </c>
      <c r="D12" s="91"/>
      <c r="E12" s="126">
        <v>1663091</v>
      </c>
      <c r="F12" s="126">
        <v>1449761</v>
      </c>
      <c r="G12" s="126">
        <v>1716235</v>
      </c>
      <c r="H12" s="126">
        <v>1716235</v>
      </c>
      <c r="I12" s="126">
        <v>1923505</v>
      </c>
      <c r="J12" s="126">
        <v>1683753</v>
      </c>
      <c r="K12" s="126">
        <v>1923288</v>
      </c>
      <c r="L12" s="126">
        <v>2052081</v>
      </c>
      <c r="M12" s="126">
        <v>2208880</v>
      </c>
      <c r="N12" s="126">
        <v>1805622</v>
      </c>
      <c r="O12" s="126">
        <v>1855171</v>
      </c>
      <c r="P12" s="126">
        <v>2244707</v>
      </c>
      <c r="Q12" s="126">
        <v>2459753</v>
      </c>
      <c r="R12" s="126">
        <v>1766710</v>
      </c>
      <c r="S12" s="126">
        <v>2046538</v>
      </c>
      <c r="T12" s="126">
        <v>2194242</v>
      </c>
      <c r="U12" s="126">
        <v>2357403</v>
      </c>
      <c r="V12" s="126">
        <v>1710589</v>
      </c>
      <c r="W12" s="126">
        <v>1897581</v>
      </c>
      <c r="X12" s="126">
        <v>2066770</v>
      </c>
      <c r="Y12" s="79"/>
    </row>
    <row r="13" spans="2:25">
      <c r="B13" s="78"/>
      <c r="C13" s="65" t="s">
        <v>59</v>
      </c>
      <c r="D13" s="91"/>
      <c r="E13" s="126">
        <v>331272</v>
      </c>
      <c r="F13" s="126">
        <v>256926</v>
      </c>
      <c r="G13" s="126">
        <v>408870</v>
      </c>
      <c r="H13" s="126">
        <v>408870</v>
      </c>
      <c r="I13" s="126">
        <v>382312</v>
      </c>
      <c r="J13" s="126">
        <v>306112</v>
      </c>
      <c r="K13" s="126">
        <v>326678</v>
      </c>
      <c r="L13" s="126">
        <v>560043</v>
      </c>
      <c r="M13" s="126">
        <v>1005299</v>
      </c>
      <c r="N13" s="126">
        <v>352710</v>
      </c>
      <c r="O13" s="126">
        <v>509593</v>
      </c>
      <c r="P13" s="126">
        <v>543370</v>
      </c>
      <c r="Q13" s="126">
        <v>1148370</v>
      </c>
      <c r="R13" s="126">
        <v>284335</v>
      </c>
      <c r="S13" s="126">
        <v>298065</v>
      </c>
      <c r="T13" s="126">
        <v>541048</v>
      </c>
      <c r="U13" s="126">
        <v>1065986</v>
      </c>
      <c r="V13" s="126">
        <v>258032</v>
      </c>
      <c r="W13" s="126">
        <v>303805</v>
      </c>
      <c r="X13" s="126">
        <v>461979</v>
      </c>
      <c r="Y13" s="79"/>
    </row>
    <row r="14" spans="2:25" ht="17">
      <c r="B14" s="78"/>
      <c r="C14" s="94" t="s">
        <v>57</v>
      </c>
      <c r="D14" s="68"/>
      <c r="E14" s="126">
        <v>2029</v>
      </c>
      <c r="F14" s="126">
        <v>1406023</v>
      </c>
      <c r="G14" s="126">
        <v>720554</v>
      </c>
      <c r="H14" s="126">
        <v>938828</v>
      </c>
      <c r="I14" s="126">
        <v>730716</v>
      </c>
      <c r="J14" s="126">
        <v>728994</v>
      </c>
      <c r="K14" s="126">
        <v>797564</v>
      </c>
      <c r="L14" s="126">
        <v>1078137</v>
      </c>
      <c r="M14" s="126">
        <v>793416</v>
      </c>
      <c r="N14" s="126">
        <v>861383</v>
      </c>
      <c r="O14" s="126">
        <v>1121641</v>
      </c>
      <c r="P14" s="126">
        <v>1244540</v>
      </c>
      <c r="Q14" s="126">
        <v>880493</v>
      </c>
      <c r="R14" s="126">
        <v>731606</v>
      </c>
      <c r="S14" s="126">
        <v>1001675</v>
      </c>
      <c r="T14" s="126">
        <v>1251749</v>
      </c>
      <c r="U14" s="126">
        <v>907302</v>
      </c>
      <c r="V14" s="126">
        <v>1653794</v>
      </c>
      <c r="W14" s="126">
        <v>2361299</v>
      </c>
      <c r="X14" s="126">
        <v>3565930</v>
      </c>
      <c r="Y14" s="79"/>
    </row>
    <row r="15" spans="2:25">
      <c r="B15" s="78"/>
      <c r="C15" s="65" t="s">
        <v>56</v>
      </c>
      <c r="D15" s="91"/>
      <c r="E15" s="126">
        <v>3487710</v>
      </c>
      <c r="F15" s="126">
        <v>3270931</v>
      </c>
      <c r="G15" s="126">
        <v>3529557</v>
      </c>
      <c r="H15" s="126">
        <v>3529557</v>
      </c>
      <c r="I15" s="126">
        <v>3736043</v>
      </c>
      <c r="J15" s="126">
        <v>3444139</v>
      </c>
      <c r="K15" s="126">
        <v>3699613</v>
      </c>
      <c r="L15" s="126">
        <v>3849516</v>
      </c>
      <c r="M15" s="126">
        <v>4007421</v>
      </c>
      <c r="N15" s="126">
        <v>3591106</v>
      </c>
      <c r="O15" s="126">
        <v>3650853</v>
      </c>
      <c r="P15" s="126">
        <v>4068970</v>
      </c>
      <c r="Q15" s="126">
        <v>4289633</v>
      </c>
      <c r="R15" s="126">
        <v>3577836</v>
      </c>
      <c r="S15" s="126">
        <v>3865151</v>
      </c>
      <c r="T15" s="126">
        <v>4081442</v>
      </c>
      <c r="U15" s="126">
        <v>4219880</v>
      </c>
      <c r="V15" s="126">
        <v>3566545</v>
      </c>
      <c r="W15" s="126">
        <v>3752487</v>
      </c>
      <c r="X15" s="126">
        <v>3890706</v>
      </c>
      <c r="Y15" s="79"/>
    </row>
    <row r="16" spans="2:25">
      <c r="B16" s="78"/>
      <c r="C16" s="65" t="s">
        <v>55</v>
      </c>
      <c r="D16" s="91"/>
      <c r="E16" s="126">
        <v>375680</v>
      </c>
      <c r="F16" s="126">
        <v>304215</v>
      </c>
      <c r="G16" s="126">
        <v>46485</v>
      </c>
      <c r="H16" s="126">
        <v>46485</v>
      </c>
      <c r="I16" s="126">
        <v>439708</v>
      </c>
      <c r="J16" s="126">
        <v>366524</v>
      </c>
      <c r="K16" s="126">
        <v>394953</v>
      </c>
      <c r="L16" s="126">
        <v>627776</v>
      </c>
      <c r="M16" s="126">
        <v>1077829</v>
      </c>
      <c r="N16" s="126">
        <v>42792</v>
      </c>
      <c r="O16" s="126">
        <v>587237</v>
      </c>
      <c r="P16" s="126">
        <v>597785</v>
      </c>
      <c r="Q16" s="126">
        <v>1199726</v>
      </c>
      <c r="R16" s="126">
        <v>337185</v>
      </c>
      <c r="S16" s="126">
        <v>340197</v>
      </c>
      <c r="T16" s="126">
        <v>575967</v>
      </c>
      <c r="U16" s="126">
        <v>1102790</v>
      </c>
      <c r="V16" s="126">
        <v>30039</v>
      </c>
      <c r="W16" s="126">
        <v>345461</v>
      </c>
      <c r="X16" s="126">
        <v>504765</v>
      </c>
      <c r="Y16" s="79"/>
    </row>
    <row r="17" spans="2:25" ht="17">
      <c r="B17" s="78">
        <v>3</v>
      </c>
      <c r="C17" s="94" t="s">
        <v>112</v>
      </c>
      <c r="D17" s="68" t="s">
        <v>113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79"/>
    </row>
    <row r="18" spans="2:25">
      <c r="B18" s="78"/>
      <c r="C18" s="65" t="s">
        <v>58</v>
      </c>
      <c r="D18" s="91"/>
      <c r="E18" s="127">
        <v>1220959695857</v>
      </c>
      <c r="F18" s="127">
        <v>974803516853</v>
      </c>
      <c r="G18" s="127">
        <v>1181115897965</v>
      </c>
      <c r="H18" s="127">
        <v>1165406301686</v>
      </c>
      <c r="I18" s="127">
        <v>1370744192837</v>
      </c>
      <c r="J18" s="127">
        <v>1193664920046</v>
      </c>
      <c r="K18" s="127">
        <v>1372883946497</v>
      </c>
      <c r="L18" s="127">
        <v>1505872822478</v>
      </c>
      <c r="M18" s="127">
        <v>1794068947949</v>
      </c>
      <c r="N18" s="127">
        <v>1521661024055</v>
      </c>
      <c r="O18" s="127">
        <v>1774586107567</v>
      </c>
      <c r="P18" s="127">
        <v>1979855004312</v>
      </c>
      <c r="Q18" s="127">
        <v>2198960543973</v>
      </c>
      <c r="R18" s="127">
        <v>2152655098371</v>
      </c>
      <c r="S18" s="127">
        <v>2420553411057</v>
      </c>
      <c r="T18" s="127">
        <v>2575390271556</v>
      </c>
      <c r="U18" s="127">
        <v>2816190298275</v>
      </c>
      <c r="V18" s="127">
        <v>2935906113091</v>
      </c>
      <c r="W18" s="127">
        <v>3276826592204</v>
      </c>
      <c r="X18" s="127">
        <v>3495987886882</v>
      </c>
      <c r="Y18" s="75"/>
    </row>
    <row r="19" spans="2:25">
      <c r="B19" s="78"/>
      <c r="C19" s="65" t="s">
        <v>59</v>
      </c>
      <c r="D19" s="91"/>
      <c r="E19" s="127">
        <v>724835764207</v>
      </c>
      <c r="F19" s="127">
        <v>380458393414</v>
      </c>
      <c r="G19" s="127">
        <v>415370871391</v>
      </c>
      <c r="H19" s="127">
        <v>408490550651</v>
      </c>
      <c r="I19" s="127">
        <v>454170455806</v>
      </c>
      <c r="J19" s="127">
        <v>350383640773</v>
      </c>
      <c r="K19" s="127">
        <v>444783593880</v>
      </c>
      <c r="L19" s="127">
        <v>626131203549</v>
      </c>
      <c r="M19" s="127">
        <v>753253165807</v>
      </c>
      <c r="N19" s="127">
        <v>360231008241</v>
      </c>
      <c r="O19" s="127">
        <v>441375648639</v>
      </c>
      <c r="P19" s="127">
        <v>475372154415</v>
      </c>
      <c r="Q19" s="127">
        <v>533322438635</v>
      </c>
      <c r="R19" s="127">
        <v>414949038148</v>
      </c>
      <c r="S19" s="127">
        <v>516801189548</v>
      </c>
      <c r="T19" s="127">
        <v>530693880588</v>
      </c>
      <c r="U19" s="127">
        <v>520452445144</v>
      </c>
      <c r="V19" s="127">
        <v>450056525361</v>
      </c>
      <c r="W19" s="127">
        <v>498680386660</v>
      </c>
      <c r="X19" s="127">
        <v>502706566446</v>
      </c>
      <c r="Y19" s="75"/>
    </row>
    <row r="20" spans="2:25" ht="17">
      <c r="B20" s="78"/>
      <c r="C20" s="94" t="s">
        <v>57</v>
      </c>
      <c r="D20" s="68"/>
      <c r="E20" s="127">
        <v>862713619821</v>
      </c>
      <c r="F20" s="127">
        <v>793932631573</v>
      </c>
      <c r="G20" s="127">
        <v>934051662255</v>
      </c>
      <c r="H20" s="127">
        <v>921811255204</v>
      </c>
      <c r="I20" s="127">
        <v>944934127199</v>
      </c>
      <c r="J20" s="127">
        <v>855333699955</v>
      </c>
      <c r="K20" s="127">
        <v>1017701784815</v>
      </c>
      <c r="L20" s="127">
        <v>1028330642856</v>
      </c>
      <c r="M20" s="127">
        <v>1025575170971</v>
      </c>
      <c r="N20" s="127">
        <v>898818235145</v>
      </c>
      <c r="O20" s="127">
        <v>1120676472809</v>
      </c>
      <c r="P20" s="127">
        <v>1196787035087</v>
      </c>
      <c r="Q20" s="127">
        <v>1182360595241</v>
      </c>
      <c r="R20" s="127">
        <v>1060053175090</v>
      </c>
      <c r="S20" s="127">
        <v>1332841074670</v>
      </c>
      <c r="T20" s="127">
        <v>1356298926469</v>
      </c>
      <c r="U20" s="127">
        <v>1250023362076</v>
      </c>
      <c r="V20" s="127">
        <v>1089993234108</v>
      </c>
      <c r="W20" s="127">
        <v>1283065084109</v>
      </c>
      <c r="X20" s="127">
        <v>1144125752753</v>
      </c>
      <c r="Y20" s="75"/>
    </row>
    <row r="21" spans="2:25">
      <c r="B21" s="78"/>
      <c r="C21" s="65" t="s">
        <v>56</v>
      </c>
      <c r="D21" s="91"/>
      <c r="E21" s="127">
        <v>2815940024972</v>
      </c>
      <c r="F21" s="127">
        <v>2587391235954</v>
      </c>
      <c r="G21" s="127">
        <v>2764177498433</v>
      </c>
      <c r="H21" s="127">
        <v>2881563083954</v>
      </c>
      <c r="I21" s="127">
        <v>3103541807577</v>
      </c>
      <c r="J21" s="127">
        <v>3111044741146</v>
      </c>
      <c r="K21" s="127">
        <v>3307682419376</v>
      </c>
      <c r="L21" s="127">
        <v>3448995059882</v>
      </c>
      <c r="M21" s="127">
        <v>3734576264493</v>
      </c>
      <c r="N21" s="127">
        <v>3454527719369</v>
      </c>
      <c r="O21" s="127">
        <v>3709050460941</v>
      </c>
      <c r="P21" s="127">
        <v>3919243683748</v>
      </c>
      <c r="Q21" s="127">
        <v>4140548466903</v>
      </c>
      <c r="R21" s="127">
        <v>4098074917918</v>
      </c>
      <c r="S21" s="127">
        <v>4363311816144</v>
      </c>
      <c r="T21" s="127">
        <v>4590737849889</v>
      </c>
      <c r="U21" s="127">
        <v>4821382501243</v>
      </c>
      <c r="V21" s="127">
        <v>4917732457992</v>
      </c>
      <c r="W21" s="127">
        <v>5249590682947</v>
      </c>
      <c r="X21" s="127">
        <v>5482234635262</v>
      </c>
      <c r="Y21" s="75"/>
    </row>
    <row r="22" spans="2:25">
      <c r="B22" s="78"/>
      <c r="C22" s="65" t="s">
        <v>55</v>
      </c>
      <c r="D22" s="91"/>
      <c r="E22" s="127">
        <v>1034570964425</v>
      </c>
      <c r="F22" s="127">
        <v>692397613931</v>
      </c>
      <c r="G22" s="127">
        <v>737343411136</v>
      </c>
      <c r="H22" s="127">
        <v>733556075974</v>
      </c>
      <c r="I22" s="127">
        <v>780154996822</v>
      </c>
      <c r="J22" s="127">
        <v>690477873250</v>
      </c>
      <c r="K22" s="127">
        <v>785227896595</v>
      </c>
      <c r="L22" s="127">
        <v>775696860738</v>
      </c>
      <c r="M22" s="127">
        <v>905068714961</v>
      </c>
      <c r="N22" s="127">
        <v>515447293738</v>
      </c>
      <c r="O22" s="127">
        <v>599218353890</v>
      </c>
      <c r="P22" s="127">
        <v>618395061219</v>
      </c>
      <c r="Q22" s="127">
        <v>675501701971</v>
      </c>
      <c r="R22" s="127">
        <v>557260446304</v>
      </c>
      <c r="S22" s="127">
        <v>659009302967</v>
      </c>
      <c r="T22" s="127">
        <v>662339075974</v>
      </c>
      <c r="U22" s="127">
        <v>652061881825</v>
      </c>
      <c r="V22" s="127">
        <v>581476037552</v>
      </c>
      <c r="W22" s="127">
        <v>630183233578</v>
      </c>
      <c r="X22" s="127">
        <v>634723259687</v>
      </c>
      <c r="Y22" s="75"/>
    </row>
    <row r="23" spans="2:25" ht="17">
      <c r="B23" s="78">
        <v>4</v>
      </c>
      <c r="C23" s="94" t="s">
        <v>114</v>
      </c>
      <c r="D23" s="68" t="s">
        <v>115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75"/>
    </row>
    <row r="24" spans="2:25">
      <c r="B24" s="78"/>
      <c r="C24" s="65" t="s">
        <v>58</v>
      </c>
      <c r="D24" s="91"/>
      <c r="E24" s="127">
        <v>359651</v>
      </c>
      <c r="F24" s="127">
        <v>369461</v>
      </c>
      <c r="G24" s="127">
        <v>351120</v>
      </c>
      <c r="H24" s="127">
        <v>351120</v>
      </c>
      <c r="I24" s="127">
        <v>380356</v>
      </c>
      <c r="J24" s="127">
        <v>37133</v>
      </c>
      <c r="K24" s="127">
        <v>468436</v>
      </c>
      <c r="L24" s="127">
        <v>545239</v>
      </c>
      <c r="M24" s="127">
        <v>599995</v>
      </c>
      <c r="N24" s="127">
        <v>590988</v>
      </c>
      <c r="O24" s="127">
        <v>663536</v>
      </c>
      <c r="P24" s="127">
        <v>673394</v>
      </c>
      <c r="Q24" s="127">
        <v>755755</v>
      </c>
      <c r="R24" s="127">
        <v>847444</v>
      </c>
      <c r="S24" s="127">
        <v>920218</v>
      </c>
      <c r="T24" s="127">
        <v>815319</v>
      </c>
      <c r="U24" s="127">
        <v>940378</v>
      </c>
      <c r="V24" s="127">
        <v>1026802</v>
      </c>
      <c r="W24" s="127">
        <v>1118372</v>
      </c>
      <c r="X24" s="127">
        <v>1230110</v>
      </c>
      <c r="Y24" s="75"/>
    </row>
    <row r="25" spans="2:25">
      <c r="B25" s="78"/>
      <c r="C25" s="65" t="s">
        <v>59</v>
      </c>
      <c r="D25" s="91"/>
      <c r="E25" s="127">
        <v>250824</v>
      </c>
      <c r="F25" s="127">
        <v>254410</v>
      </c>
      <c r="G25" s="127">
        <v>175191</v>
      </c>
      <c r="H25" s="127">
        <v>175191</v>
      </c>
      <c r="I25" s="127">
        <v>186050</v>
      </c>
      <c r="J25" s="127">
        <v>137037</v>
      </c>
      <c r="K25" s="127">
        <v>172808</v>
      </c>
      <c r="L25" s="127">
        <v>183559</v>
      </c>
      <c r="M25" s="127">
        <v>192128</v>
      </c>
      <c r="N25" s="127">
        <v>196493</v>
      </c>
      <c r="O25" s="127">
        <v>227904</v>
      </c>
      <c r="P25" s="127">
        <v>268367</v>
      </c>
      <c r="Q25" s="127">
        <v>269326</v>
      </c>
      <c r="R25" s="127">
        <v>277628</v>
      </c>
      <c r="S25" s="127">
        <v>268895</v>
      </c>
      <c r="T25" s="127">
        <v>254719</v>
      </c>
      <c r="U25" s="127">
        <v>288167</v>
      </c>
      <c r="V25" s="127">
        <v>270296</v>
      </c>
      <c r="W25" s="127">
        <v>257488</v>
      </c>
      <c r="X25" s="127">
        <v>298814</v>
      </c>
      <c r="Y25" s="75"/>
    </row>
    <row r="26" spans="2:25" ht="17">
      <c r="B26" s="78"/>
      <c r="C26" s="94" t="s">
        <v>57</v>
      </c>
      <c r="D26" s="68"/>
      <c r="E26" s="127">
        <v>19119</v>
      </c>
      <c r="F26" s="127">
        <v>383979</v>
      </c>
      <c r="G26" s="127">
        <v>212926</v>
      </c>
      <c r="H26" s="127">
        <v>218306</v>
      </c>
      <c r="I26" s="127">
        <v>198986</v>
      </c>
      <c r="J26" s="127">
        <v>120895</v>
      </c>
      <c r="K26" s="127">
        <v>165503</v>
      </c>
      <c r="L26" s="127">
        <v>187980</v>
      </c>
      <c r="M26" s="127">
        <v>18528</v>
      </c>
      <c r="N26" s="127">
        <v>356506</v>
      </c>
      <c r="O26" s="127">
        <v>241039</v>
      </c>
      <c r="P26" s="127">
        <v>319002</v>
      </c>
      <c r="Q26" s="127">
        <v>294249</v>
      </c>
      <c r="R26" s="127">
        <v>309029</v>
      </c>
      <c r="S26" s="127">
        <v>320915</v>
      </c>
      <c r="T26" s="127">
        <v>366799</v>
      </c>
      <c r="U26" s="127">
        <v>376749</v>
      </c>
      <c r="V26" s="127">
        <v>354675</v>
      </c>
      <c r="W26" s="127">
        <v>364407</v>
      </c>
      <c r="X26" s="127">
        <v>429614</v>
      </c>
      <c r="Y26" s="75"/>
    </row>
    <row r="27" spans="2:25">
      <c r="B27" s="78"/>
      <c r="C27" s="65" t="s">
        <v>56</v>
      </c>
      <c r="D27" s="91"/>
      <c r="E27" s="127">
        <v>865873</v>
      </c>
      <c r="F27" s="127">
        <v>866464</v>
      </c>
      <c r="G27" s="127">
        <v>822375</v>
      </c>
      <c r="H27" s="127">
        <v>822375</v>
      </c>
      <c r="I27" s="127">
        <v>845976</v>
      </c>
      <c r="J27" s="127">
        <v>818093</v>
      </c>
      <c r="K27" s="127">
        <v>890363</v>
      </c>
      <c r="L27" s="127">
        <v>958791</v>
      </c>
      <c r="M27" s="127">
        <v>1017017</v>
      </c>
      <c r="N27" s="127">
        <v>1064648</v>
      </c>
      <c r="O27" s="127">
        <v>1149089</v>
      </c>
      <c r="P27" s="127">
        <v>1304108</v>
      </c>
      <c r="Q27" s="127">
        <v>1380815</v>
      </c>
      <c r="R27" s="127">
        <v>1470192</v>
      </c>
      <c r="S27" s="127">
        <v>1542280</v>
      </c>
      <c r="T27" s="127">
        <v>1645582</v>
      </c>
      <c r="U27" s="127">
        <v>1768419</v>
      </c>
      <c r="V27" s="127">
        <v>1847245</v>
      </c>
      <c r="W27" s="127">
        <v>1940594</v>
      </c>
      <c r="X27" s="127">
        <v>2085182</v>
      </c>
      <c r="Y27" s="75"/>
    </row>
    <row r="28" spans="2:25">
      <c r="B28" s="78"/>
      <c r="C28" s="65" t="s">
        <v>55</v>
      </c>
      <c r="D28" s="91"/>
      <c r="E28" s="127">
        <v>366549</v>
      </c>
      <c r="F28" s="127">
        <v>353944</v>
      </c>
      <c r="G28" s="127">
        <v>254438</v>
      </c>
      <c r="H28" s="127">
        <v>254438</v>
      </c>
      <c r="I28" s="127">
        <v>256827</v>
      </c>
      <c r="J28" s="127">
        <v>210234</v>
      </c>
      <c r="K28" s="127">
        <v>248042</v>
      </c>
      <c r="L28" s="127">
        <v>258283</v>
      </c>
      <c r="M28" s="127">
        <v>269038</v>
      </c>
      <c r="N28" s="127">
        <v>274249</v>
      </c>
      <c r="O28" s="127">
        <v>305728</v>
      </c>
      <c r="P28" s="127">
        <v>334291</v>
      </c>
      <c r="Q28" s="127">
        <v>335403</v>
      </c>
      <c r="R28" s="127">
        <v>343438</v>
      </c>
      <c r="S28" s="127">
        <v>331798</v>
      </c>
      <c r="T28" s="127">
        <v>310746</v>
      </c>
      <c r="U28" s="127">
        <v>34415</v>
      </c>
      <c r="V28" s="127">
        <v>327034</v>
      </c>
      <c r="W28" s="127">
        <v>313879</v>
      </c>
      <c r="X28" s="127">
        <v>355374</v>
      </c>
      <c r="Y28" s="75"/>
    </row>
    <row r="29" spans="2:25" ht="17">
      <c r="B29" s="78">
        <v>5</v>
      </c>
      <c r="C29" s="94" t="s">
        <v>116</v>
      </c>
      <c r="D29" s="68" t="s">
        <v>136</v>
      </c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75"/>
    </row>
    <row r="30" spans="2:25">
      <c r="B30" s="78"/>
      <c r="C30" s="65" t="s">
        <v>58</v>
      </c>
      <c r="D30" s="91"/>
      <c r="E30" s="127">
        <v>2011575</v>
      </c>
      <c r="F30" s="127">
        <v>1996956</v>
      </c>
      <c r="G30" s="127">
        <v>1996956</v>
      </c>
      <c r="H30" s="127">
        <v>2138324</v>
      </c>
      <c r="I30" s="127">
        <v>2380660</v>
      </c>
      <c r="J30" s="127">
        <v>2288151</v>
      </c>
      <c r="K30" s="127">
        <v>2165305</v>
      </c>
      <c r="L30" s="127">
        <v>2294976</v>
      </c>
      <c r="M30" s="127">
        <v>2680751</v>
      </c>
      <c r="N30" s="127">
        <v>2851228</v>
      </c>
      <c r="O30" s="127">
        <v>2752631</v>
      </c>
      <c r="P30" s="127">
        <v>2795010</v>
      </c>
      <c r="Q30" s="127">
        <v>2997663</v>
      </c>
      <c r="R30" s="127">
        <v>3097663</v>
      </c>
      <c r="S30" s="127">
        <v>3190720</v>
      </c>
      <c r="T30" s="127">
        <v>3122353</v>
      </c>
      <c r="U30" s="127">
        <v>3307687</v>
      </c>
      <c r="V30" s="127">
        <v>3110000</v>
      </c>
      <c r="W30" s="127">
        <v>3268262</v>
      </c>
      <c r="X30" s="127">
        <v>3309168</v>
      </c>
      <c r="Y30" s="75"/>
    </row>
    <row r="31" spans="2:25">
      <c r="B31" s="78"/>
      <c r="C31" s="65" t="s">
        <v>59</v>
      </c>
      <c r="D31" s="91"/>
      <c r="E31" s="127">
        <v>497176</v>
      </c>
      <c r="F31" s="127">
        <v>416290</v>
      </c>
      <c r="G31" s="127">
        <v>416290</v>
      </c>
      <c r="H31" s="127">
        <v>461192</v>
      </c>
      <c r="I31" s="127">
        <v>596998</v>
      </c>
      <c r="J31" s="127">
        <v>422395</v>
      </c>
      <c r="K31" s="127">
        <v>345236</v>
      </c>
      <c r="L31" s="127">
        <v>398392</v>
      </c>
      <c r="M31" s="127">
        <v>605702</v>
      </c>
      <c r="N31" s="127">
        <v>804299</v>
      </c>
      <c r="O31" s="127">
        <v>658394</v>
      </c>
      <c r="P31" s="127">
        <v>669419</v>
      </c>
      <c r="Q31" s="127">
        <v>685945</v>
      </c>
      <c r="R31" s="127">
        <v>704410</v>
      </c>
      <c r="S31" s="127">
        <v>821895</v>
      </c>
      <c r="T31" s="127">
        <v>704787</v>
      </c>
      <c r="U31" s="127">
        <v>677066</v>
      </c>
      <c r="V31" s="127">
        <v>596940</v>
      </c>
      <c r="W31" s="127">
        <v>637989</v>
      </c>
      <c r="X31" s="127">
        <v>639563</v>
      </c>
      <c r="Y31" s="75"/>
    </row>
    <row r="32" spans="2:25" ht="17">
      <c r="B32" s="78"/>
      <c r="C32" s="94" t="s">
        <v>57</v>
      </c>
      <c r="D32" s="68"/>
      <c r="E32" s="127">
        <v>890858</v>
      </c>
      <c r="F32" s="127">
        <v>881389</v>
      </c>
      <c r="G32" s="127">
        <v>1013437</v>
      </c>
      <c r="H32" s="127">
        <v>1150127</v>
      </c>
      <c r="I32" s="127">
        <v>803058</v>
      </c>
      <c r="J32" s="127">
        <v>660990</v>
      </c>
      <c r="K32" s="127">
        <v>839015</v>
      </c>
      <c r="L32" s="127">
        <v>930630</v>
      </c>
      <c r="M32" s="127">
        <v>971168</v>
      </c>
      <c r="N32" s="127">
        <v>999132</v>
      </c>
      <c r="O32" s="127">
        <v>1052741</v>
      </c>
      <c r="P32" s="127">
        <v>1139890</v>
      </c>
      <c r="Q32" s="127">
        <v>1179794</v>
      </c>
      <c r="R32" s="127">
        <v>1126167</v>
      </c>
      <c r="S32" s="127">
        <v>1343180</v>
      </c>
      <c r="T32" s="127">
        <v>1245023</v>
      </c>
      <c r="U32" s="127">
        <v>1278491</v>
      </c>
      <c r="V32" s="127">
        <v>1200148</v>
      </c>
      <c r="W32" s="127">
        <v>1284880</v>
      </c>
      <c r="X32" s="127">
        <v>1336853</v>
      </c>
      <c r="Y32" s="75"/>
    </row>
    <row r="33" spans="2:25">
      <c r="B33" s="78"/>
      <c r="C33" s="65" t="s">
        <v>56</v>
      </c>
      <c r="D33" s="91"/>
      <c r="E33" s="127">
        <v>2972855</v>
      </c>
      <c r="F33" s="127">
        <v>2978299</v>
      </c>
      <c r="G33" s="127">
        <v>2978299</v>
      </c>
      <c r="H33" s="127">
        <v>3106981</v>
      </c>
      <c r="I33" s="127">
        <v>3499849</v>
      </c>
      <c r="J33" s="127">
        <v>3366507</v>
      </c>
      <c r="K33" s="127">
        <v>3238316</v>
      </c>
      <c r="L33" s="127">
        <v>3375526</v>
      </c>
      <c r="M33" s="127">
        <v>3760247</v>
      </c>
      <c r="N33" s="127">
        <v>3972001</v>
      </c>
      <c r="O33" s="127">
        <v>3856932</v>
      </c>
      <c r="P33" s="127">
        <v>3868862</v>
      </c>
      <c r="Q33" s="127">
        <v>4099483</v>
      </c>
      <c r="R33" s="127">
        <v>4218089</v>
      </c>
      <c r="S33" s="127">
        <v>4384631</v>
      </c>
      <c r="T33" s="127">
        <v>4379577</v>
      </c>
      <c r="U33" s="127">
        <v>4574015</v>
      </c>
      <c r="V33" s="127">
        <v>4356141</v>
      </c>
      <c r="W33" s="127">
        <v>4524710</v>
      </c>
      <c r="X33" s="127">
        <v>4574793</v>
      </c>
      <c r="Y33" s="75"/>
    </row>
    <row r="34" spans="2:25">
      <c r="B34" s="78"/>
      <c r="C34" s="65" t="s">
        <v>55</v>
      </c>
      <c r="D34" s="91"/>
      <c r="E34" s="127">
        <v>683561</v>
      </c>
      <c r="F34" s="127">
        <v>618059</v>
      </c>
      <c r="G34" s="127">
        <v>618059</v>
      </c>
      <c r="H34" s="127">
        <v>664678</v>
      </c>
      <c r="I34" s="127">
        <v>897718</v>
      </c>
      <c r="J34" s="127">
        <v>717128</v>
      </c>
      <c r="K34" s="127">
        <v>642053</v>
      </c>
      <c r="L34" s="127">
        <v>727016</v>
      </c>
      <c r="M34" s="127">
        <v>921258</v>
      </c>
      <c r="N34" s="127">
        <v>1157420</v>
      </c>
      <c r="O34" s="127">
        <v>988489</v>
      </c>
      <c r="P34" s="127">
        <v>957229</v>
      </c>
      <c r="Q34" s="127">
        <v>979043</v>
      </c>
      <c r="R34" s="127">
        <v>1001360</v>
      </c>
      <c r="S34" s="127">
        <v>1174811</v>
      </c>
      <c r="T34" s="127">
        <v>1060545</v>
      </c>
      <c r="U34" s="127">
        <v>1027494</v>
      </c>
      <c r="V34" s="127">
        <v>93609</v>
      </c>
      <c r="W34" s="127">
        <v>972272</v>
      </c>
      <c r="X34" s="127">
        <v>94476</v>
      </c>
      <c r="Y34" s="75"/>
    </row>
    <row r="35" spans="2:25" ht="17">
      <c r="B35" s="78">
        <v>6</v>
      </c>
      <c r="C35" s="94" t="s">
        <v>117</v>
      </c>
      <c r="D35" s="68" t="s">
        <v>118</v>
      </c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75"/>
    </row>
    <row r="36" spans="2:25">
      <c r="B36" s="78"/>
      <c r="C36" s="65" t="s">
        <v>58</v>
      </c>
      <c r="D36" s="91"/>
      <c r="E36" s="127">
        <v>8842325</v>
      </c>
      <c r="F36" s="127">
        <v>8254148</v>
      </c>
      <c r="G36" s="127">
        <v>8254148</v>
      </c>
      <c r="H36" s="127">
        <v>7665239</v>
      </c>
      <c r="I36" s="127">
        <v>7408321</v>
      </c>
      <c r="J36" s="127">
        <v>7127012</v>
      </c>
      <c r="K36" s="127">
        <v>8530993</v>
      </c>
      <c r="L36" s="127">
        <v>9150514</v>
      </c>
      <c r="M36" s="127">
        <v>10077495</v>
      </c>
      <c r="N36" s="127">
        <v>9909264</v>
      </c>
      <c r="O36" s="127">
        <v>11090152</v>
      </c>
      <c r="P36" s="127">
        <v>11728143</v>
      </c>
      <c r="Q36" s="127">
        <v>10954380</v>
      </c>
      <c r="R36" s="127">
        <v>10954380</v>
      </c>
      <c r="S36" s="127">
        <v>12135833</v>
      </c>
      <c r="T36" s="127">
        <v>11694779</v>
      </c>
      <c r="U36" s="127">
        <v>12582223</v>
      </c>
      <c r="V36" s="127">
        <v>14311751</v>
      </c>
      <c r="W36" s="127">
        <v>13232368</v>
      </c>
      <c r="X36" s="127">
        <v>20064546</v>
      </c>
      <c r="Y36" s="75"/>
    </row>
    <row r="37" spans="2:25">
      <c r="B37" s="78"/>
      <c r="C37" s="65" t="s">
        <v>59</v>
      </c>
      <c r="D37" s="91"/>
      <c r="E37" s="127">
        <v>5854512</v>
      </c>
      <c r="F37" s="127">
        <v>5679837</v>
      </c>
      <c r="G37" s="127">
        <v>5679837</v>
      </c>
      <c r="H37" s="127">
        <v>5293238</v>
      </c>
      <c r="I37" s="127">
        <v>5618539</v>
      </c>
      <c r="J37" s="127">
        <v>4450523</v>
      </c>
      <c r="K37" s="127">
        <v>4392821</v>
      </c>
      <c r="L37" s="127">
        <v>7553261</v>
      </c>
      <c r="M37" s="127">
        <v>8133046</v>
      </c>
      <c r="N37" s="127">
        <v>7857693</v>
      </c>
      <c r="O37" s="127">
        <v>8870426</v>
      </c>
      <c r="P37" s="127">
        <v>6562383</v>
      </c>
      <c r="Q37" s="127">
        <v>6659135</v>
      </c>
      <c r="R37" s="127">
        <v>6659135</v>
      </c>
      <c r="S37" s="127">
        <v>7223640</v>
      </c>
      <c r="T37" s="127">
        <v>5971662</v>
      </c>
      <c r="U37" s="127">
        <v>6063757</v>
      </c>
      <c r="V37" s="127">
        <v>9272178</v>
      </c>
      <c r="W37" s="127">
        <v>7734689</v>
      </c>
      <c r="X37" s="127">
        <v>8576440</v>
      </c>
      <c r="Y37" s="75"/>
    </row>
    <row r="38" spans="2:25" ht="17">
      <c r="B38" s="78"/>
      <c r="C38" s="94" t="s">
        <v>57</v>
      </c>
      <c r="D38" s="68"/>
      <c r="E38" s="127">
        <v>6219067</v>
      </c>
      <c r="F38" s="127">
        <v>8207075</v>
      </c>
      <c r="G38" s="127">
        <v>10110992</v>
      </c>
      <c r="H38" s="127">
        <v>8181406</v>
      </c>
      <c r="I38" s="127">
        <v>5202523</v>
      </c>
      <c r="J38" s="127">
        <v>4023564</v>
      </c>
      <c r="K38" s="127">
        <v>8811252</v>
      </c>
      <c r="L38" s="127">
        <v>9335120</v>
      </c>
      <c r="M38" s="127">
        <v>9210490</v>
      </c>
      <c r="N38" s="127">
        <v>8064532</v>
      </c>
      <c r="O38" s="127">
        <v>9201233</v>
      </c>
      <c r="P38" s="127">
        <v>11969340</v>
      </c>
      <c r="Q38" s="127">
        <v>9746873</v>
      </c>
      <c r="R38" s="127">
        <v>9025988</v>
      </c>
      <c r="S38" s="127">
        <v>14910244</v>
      </c>
      <c r="T38" s="127">
        <v>12247251</v>
      </c>
      <c r="U38" s="127">
        <v>11593348</v>
      </c>
      <c r="V38" s="127">
        <v>10067764</v>
      </c>
      <c r="W38" s="127">
        <v>9237868</v>
      </c>
      <c r="X38" s="127">
        <v>10148713</v>
      </c>
      <c r="Y38" s="75"/>
    </row>
    <row r="39" spans="2:25">
      <c r="B39" s="78"/>
      <c r="C39" s="65" t="s">
        <v>56</v>
      </c>
      <c r="D39" s="91"/>
      <c r="E39" s="127">
        <v>33598993</v>
      </c>
      <c r="F39" s="127">
        <v>8254148</v>
      </c>
      <c r="G39" s="127">
        <v>32654878</v>
      </c>
      <c r="H39" s="127">
        <v>30194907</v>
      </c>
      <c r="I39" s="127">
        <v>30771074</v>
      </c>
      <c r="J39" s="127">
        <v>30033248</v>
      </c>
      <c r="K39" s="127">
        <v>30974035</v>
      </c>
      <c r="L39" s="127">
        <v>31729512</v>
      </c>
      <c r="M39" s="127">
        <v>32690824</v>
      </c>
      <c r="N39" s="127">
        <v>32290182</v>
      </c>
      <c r="O39" s="127">
        <v>33300839</v>
      </c>
      <c r="P39" s="127">
        <v>32916154</v>
      </c>
      <c r="Q39" s="127">
        <v>32256476</v>
      </c>
      <c r="R39" s="127">
        <v>32256476</v>
      </c>
      <c r="S39" s="127">
        <v>33790466</v>
      </c>
      <c r="T39" s="127">
        <v>33637271</v>
      </c>
      <c r="U39" s="127">
        <v>34933681</v>
      </c>
      <c r="V39" s="127">
        <v>36368666</v>
      </c>
      <c r="W39" s="127">
        <v>35500169</v>
      </c>
      <c r="X39" s="127">
        <v>42851329</v>
      </c>
      <c r="Y39" s="75"/>
    </row>
    <row r="40" spans="2:25">
      <c r="B40" s="78"/>
      <c r="C40" s="65" t="s">
        <v>55</v>
      </c>
      <c r="D40" s="91"/>
      <c r="E40" s="127">
        <v>13689071</v>
      </c>
      <c r="F40" s="127">
        <v>5679837</v>
      </c>
      <c r="G40" s="127">
        <v>12707270</v>
      </c>
      <c r="H40" s="127">
        <v>12061488</v>
      </c>
      <c r="I40" s="127">
        <v>12746025</v>
      </c>
      <c r="J40" s="127">
        <v>11929598</v>
      </c>
      <c r="K40" s="127">
        <v>12044879</v>
      </c>
      <c r="L40" s="127">
        <v>12690063</v>
      </c>
      <c r="M40" s="127">
        <v>12891143</v>
      </c>
      <c r="N40" s="127">
        <v>12454835</v>
      </c>
      <c r="O40" s="127">
        <v>12956958</v>
      </c>
      <c r="P40" s="127">
        <v>12079056</v>
      </c>
      <c r="Q40" s="127">
        <v>10784540</v>
      </c>
      <c r="R40" s="127">
        <v>10784540</v>
      </c>
      <c r="S40" s="127">
        <v>11223189</v>
      </c>
      <c r="T40" s="127">
        <v>9925211</v>
      </c>
      <c r="U40" s="127">
        <v>9601587</v>
      </c>
      <c r="V40" s="127">
        <v>12692580</v>
      </c>
      <c r="W40" s="127">
        <v>10883398</v>
      </c>
      <c r="X40" s="127">
        <v>11685659</v>
      </c>
      <c r="Y40" s="75"/>
    </row>
    <row r="41" spans="2:25" ht="17">
      <c r="B41" s="78">
        <v>7</v>
      </c>
      <c r="C41" s="94" t="s">
        <v>119</v>
      </c>
      <c r="D41" s="68" t="s">
        <v>120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75"/>
    </row>
    <row r="42" spans="2:25">
      <c r="B42" s="78"/>
      <c r="C42" s="65" t="s">
        <v>58</v>
      </c>
      <c r="D42" s="91"/>
      <c r="E42" s="127">
        <v>796009</v>
      </c>
      <c r="F42" s="127">
        <v>796009</v>
      </c>
      <c r="G42" s="127">
        <v>591812</v>
      </c>
      <c r="H42" s="127">
        <v>591812</v>
      </c>
      <c r="I42" s="127">
        <v>500941</v>
      </c>
      <c r="J42" s="127">
        <v>427787</v>
      </c>
      <c r="K42" s="127">
        <v>410679</v>
      </c>
      <c r="L42" s="127">
        <v>419933</v>
      </c>
      <c r="M42" s="127">
        <v>482093</v>
      </c>
      <c r="N42" s="127">
        <v>620584</v>
      </c>
      <c r="O42" s="127">
        <v>81188</v>
      </c>
      <c r="P42" s="127">
        <v>988024</v>
      </c>
      <c r="Q42" s="127">
        <v>1267967</v>
      </c>
      <c r="R42" s="127">
        <v>1267967</v>
      </c>
      <c r="S42" s="127">
        <v>1774613</v>
      </c>
      <c r="T42" s="127">
        <v>1908545</v>
      </c>
      <c r="U42" s="127">
        <v>1996532</v>
      </c>
      <c r="V42" s="127">
        <v>1421672</v>
      </c>
      <c r="W42" s="127">
        <v>1296390</v>
      </c>
      <c r="X42" s="127">
        <v>1279872</v>
      </c>
      <c r="Y42" s="75"/>
    </row>
    <row r="43" spans="2:25">
      <c r="B43" s="78"/>
      <c r="C43" s="65" t="s">
        <v>59</v>
      </c>
      <c r="D43" s="91"/>
      <c r="E43" s="127">
        <v>529589</v>
      </c>
      <c r="F43" s="127">
        <v>529589</v>
      </c>
      <c r="G43" s="127">
        <v>308259</v>
      </c>
      <c r="H43" s="127">
        <v>308259</v>
      </c>
      <c r="I43" s="127">
        <v>276785</v>
      </c>
      <c r="J43" s="127">
        <v>267172</v>
      </c>
      <c r="K43" s="127">
        <v>220019</v>
      </c>
      <c r="L43" s="127">
        <v>207300</v>
      </c>
      <c r="M43" s="127">
        <v>216083</v>
      </c>
      <c r="N43" s="127">
        <v>313204</v>
      </c>
      <c r="O43" s="127">
        <v>36916</v>
      </c>
      <c r="P43" s="127">
        <v>364743</v>
      </c>
      <c r="Q43" s="127">
        <v>396164</v>
      </c>
      <c r="R43" s="127">
        <v>396164</v>
      </c>
      <c r="S43" s="127">
        <v>452794</v>
      </c>
      <c r="T43" s="127">
        <v>585613</v>
      </c>
      <c r="U43" s="127">
        <v>1004362</v>
      </c>
      <c r="V43" s="127">
        <v>324674</v>
      </c>
      <c r="W43" s="127">
        <v>350272</v>
      </c>
      <c r="X43" s="127">
        <v>294254</v>
      </c>
      <c r="Y43" s="75"/>
    </row>
    <row r="44" spans="2:25" ht="17">
      <c r="B44" s="78"/>
      <c r="C44" s="94" t="s">
        <v>57</v>
      </c>
      <c r="D44" s="68"/>
      <c r="E44" s="127">
        <v>453025</v>
      </c>
      <c r="F44" s="127">
        <v>439676</v>
      </c>
      <c r="G44" s="127">
        <v>412079</v>
      </c>
      <c r="H44" s="127">
        <v>410812</v>
      </c>
      <c r="I44" s="127">
        <v>365903</v>
      </c>
      <c r="J44" s="127">
        <v>286725</v>
      </c>
      <c r="K44" s="127">
        <v>219256</v>
      </c>
      <c r="L44" s="127">
        <v>313452</v>
      </c>
      <c r="M44" s="127">
        <v>28424</v>
      </c>
      <c r="N44" s="127">
        <v>647879</v>
      </c>
      <c r="O44" s="127">
        <v>647042</v>
      </c>
      <c r="P44" s="127">
        <v>753468</v>
      </c>
      <c r="Q44" s="127">
        <v>639933</v>
      </c>
      <c r="R44" s="127">
        <v>781608</v>
      </c>
      <c r="S44" s="127">
        <v>1194897</v>
      </c>
      <c r="T44" s="127">
        <v>1019775</v>
      </c>
      <c r="U44" s="127">
        <v>685586</v>
      </c>
      <c r="V44" s="127">
        <v>613603</v>
      </c>
      <c r="W44" s="127">
        <v>527473</v>
      </c>
      <c r="X44" s="127">
        <v>547653</v>
      </c>
      <c r="Y44" s="75"/>
    </row>
    <row r="45" spans="2:25">
      <c r="B45" s="78"/>
      <c r="C45" s="65" t="s">
        <v>56</v>
      </c>
      <c r="D45" s="91"/>
      <c r="E45" s="127">
        <v>1469510</v>
      </c>
      <c r="F45" s="127">
        <v>1469510</v>
      </c>
      <c r="G45" s="127">
        <v>1308377</v>
      </c>
      <c r="H45" s="127">
        <v>1308377</v>
      </c>
      <c r="I45" s="127">
        <v>1239166</v>
      </c>
      <c r="J45" s="127">
        <v>1228667</v>
      </c>
      <c r="K45" s="127">
        <v>1179797</v>
      </c>
      <c r="L45" s="127">
        <v>1158629</v>
      </c>
      <c r="M45" s="127">
        <v>1201451</v>
      </c>
      <c r="N45" s="127">
        <v>1314571</v>
      </c>
      <c r="O45" s="127">
        <v>1509520</v>
      </c>
      <c r="P45" s="127">
        <v>1666239</v>
      </c>
      <c r="Q45" s="127">
        <v>1973760</v>
      </c>
      <c r="R45" s="127">
        <v>1973760</v>
      </c>
      <c r="S45" s="127">
        <v>2494255</v>
      </c>
      <c r="T45" s="127">
        <v>2640177</v>
      </c>
      <c r="U45" s="127">
        <v>2776546</v>
      </c>
      <c r="V45" s="127">
        <v>2227069</v>
      </c>
      <c r="W45" s="127">
        <v>2148813</v>
      </c>
      <c r="X45" s="127">
        <v>2187847</v>
      </c>
      <c r="Y45" s="75"/>
    </row>
    <row r="46" spans="2:25">
      <c r="B46" s="78"/>
      <c r="C46" s="65" t="s">
        <v>55</v>
      </c>
      <c r="D46" s="91"/>
      <c r="E46" s="127">
        <v>616582</v>
      </c>
      <c r="F46" s="127">
        <v>616582</v>
      </c>
      <c r="G46" s="127">
        <v>397043</v>
      </c>
      <c r="H46" s="127">
        <v>397043</v>
      </c>
      <c r="I46" s="127">
        <v>374098</v>
      </c>
      <c r="J46" s="127">
        <v>366847</v>
      </c>
      <c r="K46" s="127">
        <v>316348</v>
      </c>
      <c r="L46" s="127">
        <v>312339</v>
      </c>
      <c r="M46" s="127">
        <v>317821</v>
      </c>
      <c r="N46" s="127">
        <v>408168</v>
      </c>
      <c r="O46" s="127">
        <v>471629</v>
      </c>
      <c r="P46" s="127">
        <v>46468</v>
      </c>
      <c r="Q46" s="127">
        <v>491837</v>
      </c>
      <c r="R46" s="127">
        <v>491837</v>
      </c>
      <c r="S46" s="127">
        <v>552388</v>
      </c>
      <c r="T46" s="127">
        <v>689897</v>
      </c>
      <c r="U46" s="127">
        <v>1109952</v>
      </c>
      <c r="V46" s="127">
        <v>430921</v>
      </c>
      <c r="W46" s="127">
        <v>458739</v>
      </c>
      <c r="X46" s="127">
        <v>399307</v>
      </c>
      <c r="Y46" s="75"/>
    </row>
    <row r="47" spans="2:25" ht="17">
      <c r="B47" s="78">
        <v>8</v>
      </c>
      <c r="C47" s="94" t="s">
        <v>121</v>
      </c>
      <c r="D47" s="68" t="s">
        <v>122</v>
      </c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75"/>
    </row>
    <row r="48" spans="2:25">
      <c r="B48" s="78"/>
      <c r="C48" s="65" t="s">
        <v>58</v>
      </c>
      <c r="D48" s="91"/>
      <c r="E48" s="127">
        <v>12051027</v>
      </c>
      <c r="F48" s="127">
        <v>11749298</v>
      </c>
      <c r="G48" s="127">
        <v>11749298</v>
      </c>
      <c r="H48" s="127">
        <v>11679884</v>
      </c>
      <c r="I48" s="127">
        <v>12030152</v>
      </c>
      <c r="J48" s="127">
        <v>11596133</v>
      </c>
      <c r="K48" s="127">
        <v>9360763</v>
      </c>
      <c r="L48" s="127">
        <v>8364356</v>
      </c>
      <c r="M48" s="127">
        <v>8151865</v>
      </c>
      <c r="N48" s="127">
        <v>10202025</v>
      </c>
      <c r="O48" s="127">
        <v>14883833</v>
      </c>
      <c r="P48" s="127">
        <v>18211500</v>
      </c>
      <c r="Q48" s="127">
        <v>20946518</v>
      </c>
      <c r="R48" s="127">
        <v>16498602</v>
      </c>
      <c r="S48" s="127">
        <v>21885629</v>
      </c>
      <c r="T48" s="127">
        <v>24432148</v>
      </c>
      <c r="U48" s="127">
        <v>24316471</v>
      </c>
      <c r="V48" s="127">
        <v>24433885</v>
      </c>
      <c r="W48" s="127">
        <v>14057656</v>
      </c>
      <c r="X48" s="127">
        <v>15148356</v>
      </c>
      <c r="Y48" s="75"/>
    </row>
    <row r="49" spans="2:25">
      <c r="B49" s="78"/>
      <c r="C49" s="65" t="s">
        <v>59</v>
      </c>
      <c r="D49" s="91"/>
      <c r="E49" s="127">
        <v>4219504</v>
      </c>
      <c r="F49" s="127">
        <v>4902778</v>
      </c>
      <c r="G49" s="127">
        <v>4902778</v>
      </c>
      <c r="H49" s="127">
        <v>4691251</v>
      </c>
      <c r="I49" s="127">
        <v>4485868</v>
      </c>
      <c r="J49" s="127">
        <v>7608500</v>
      </c>
      <c r="K49" s="127">
        <v>4380129</v>
      </c>
      <c r="L49" s="127">
        <v>3872457</v>
      </c>
      <c r="M49" s="127">
        <v>3720235</v>
      </c>
      <c r="N49" s="127">
        <v>5471716</v>
      </c>
      <c r="O49" s="127">
        <v>6373969</v>
      </c>
      <c r="P49" s="127">
        <v>7500647</v>
      </c>
      <c r="Q49" s="127">
        <v>7965665</v>
      </c>
      <c r="R49" s="127">
        <v>8259947</v>
      </c>
      <c r="S49" s="127">
        <v>9745654</v>
      </c>
      <c r="T49" s="127">
        <v>10701780</v>
      </c>
      <c r="U49" s="127">
        <v>10615526</v>
      </c>
      <c r="V49" s="127">
        <v>21262390</v>
      </c>
      <c r="W49" s="127">
        <v>10177838</v>
      </c>
      <c r="X49" s="127">
        <v>9968101</v>
      </c>
      <c r="Y49" s="75"/>
    </row>
    <row r="50" spans="2:25" ht="17">
      <c r="B50" s="78"/>
      <c r="C50" s="94" t="s">
        <v>57</v>
      </c>
      <c r="D50" s="68"/>
      <c r="E50" s="127">
        <v>5336966</v>
      </c>
      <c r="F50" s="127">
        <v>5277995</v>
      </c>
      <c r="G50" s="127">
        <v>5639092</v>
      </c>
      <c r="H50" s="127">
        <v>5533511</v>
      </c>
      <c r="I50" s="127">
        <v>5122490</v>
      </c>
      <c r="J50" s="127">
        <v>3889986</v>
      </c>
      <c r="K50" s="127">
        <v>3836389</v>
      </c>
      <c r="L50" s="127">
        <v>4476327</v>
      </c>
      <c r="M50" s="127">
        <v>3994925</v>
      </c>
      <c r="N50" s="127">
        <v>6296406</v>
      </c>
      <c r="O50" s="127">
        <v>9090488</v>
      </c>
      <c r="P50" s="127">
        <v>9879649</v>
      </c>
      <c r="Q50" s="127">
        <v>8205116</v>
      </c>
      <c r="R50" s="127">
        <v>10217947</v>
      </c>
      <c r="S50" s="127">
        <v>12647797</v>
      </c>
      <c r="T50" s="127">
        <v>11577730</v>
      </c>
      <c r="U50" s="127">
        <v>9957130</v>
      </c>
      <c r="V50" s="127">
        <v>8901448</v>
      </c>
      <c r="W50" s="127">
        <v>8879031</v>
      </c>
      <c r="X50" s="127">
        <v>10751258</v>
      </c>
      <c r="Y50" s="75"/>
    </row>
    <row r="51" spans="2:25">
      <c r="B51" s="78"/>
      <c r="C51" s="65" t="s">
        <v>56</v>
      </c>
      <c r="D51" s="91"/>
      <c r="E51" s="127">
        <v>24826681</v>
      </c>
      <c r="F51" s="127">
        <v>25231141</v>
      </c>
      <c r="G51" s="127">
        <v>25231141</v>
      </c>
      <c r="H51" s="127">
        <v>26098052</v>
      </c>
      <c r="I51" s="127">
        <v>27728615</v>
      </c>
      <c r="J51" s="127">
        <v>26892528</v>
      </c>
      <c r="K51" s="127">
        <v>24505423</v>
      </c>
      <c r="L51" s="127">
        <v>24056755</v>
      </c>
      <c r="M51" s="127">
        <v>24526158</v>
      </c>
      <c r="N51" s="127">
        <v>27043823</v>
      </c>
      <c r="O51" s="127">
        <v>32191140</v>
      </c>
      <c r="P51" s="127">
        <v>36123703</v>
      </c>
      <c r="Q51" s="127">
        <v>38989683</v>
      </c>
      <c r="R51" s="127">
        <v>35913004</v>
      </c>
      <c r="S51" s="127">
        <v>41216840</v>
      </c>
      <c r="T51" s="127">
        <v>45359207</v>
      </c>
      <c r="U51" s="127">
        <v>46376300</v>
      </c>
      <c r="V51" s="127">
        <v>46287550</v>
      </c>
      <c r="W51" s="127">
        <v>36004462</v>
      </c>
      <c r="X51" s="127">
        <v>38765189</v>
      </c>
      <c r="Y51" s="75"/>
    </row>
    <row r="52" spans="2:25">
      <c r="B52" s="78"/>
      <c r="C52" s="65" t="s">
        <v>55</v>
      </c>
      <c r="D52" s="91"/>
      <c r="E52" s="127">
        <v>7268699</v>
      </c>
      <c r="F52" s="127">
        <v>7896894</v>
      </c>
      <c r="G52" s="127">
        <v>7896894</v>
      </c>
      <c r="H52" s="127">
        <v>7675226</v>
      </c>
      <c r="I52" s="127">
        <v>7802775</v>
      </c>
      <c r="J52" s="127">
        <v>10925654</v>
      </c>
      <c r="K52" s="127">
        <v>7925952</v>
      </c>
      <c r="L52" s="127">
        <v>7117559</v>
      </c>
      <c r="M52" s="127">
        <v>6960390</v>
      </c>
      <c r="N52" s="127">
        <v>9535936</v>
      </c>
      <c r="O52" s="127">
        <v>11167411</v>
      </c>
      <c r="P52" s="127">
        <v>11869979</v>
      </c>
      <c r="Q52" s="127">
        <v>12467527</v>
      </c>
      <c r="R52" s="127">
        <v>13208418</v>
      </c>
      <c r="S52" s="127">
        <v>14782291</v>
      </c>
      <c r="T52" s="127">
        <v>16443161</v>
      </c>
      <c r="U52" s="127">
        <v>16673440</v>
      </c>
      <c r="V52" s="127">
        <v>18466305</v>
      </c>
      <c r="W52" s="127">
        <v>16576827</v>
      </c>
      <c r="X52" s="127">
        <v>17201993</v>
      </c>
      <c r="Y52" s="75"/>
    </row>
    <row r="53" spans="2:25" ht="17">
      <c r="B53" s="78">
        <v>9</v>
      </c>
      <c r="C53" s="94" t="s">
        <v>123</v>
      </c>
      <c r="D53" s="68" t="s">
        <v>124</v>
      </c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75"/>
    </row>
    <row r="54" spans="2:25">
      <c r="B54" s="78"/>
      <c r="C54" s="65" t="s">
        <v>58</v>
      </c>
      <c r="D54" s="91"/>
      <c r="E54" s="127">
        <v>11326325659911</v>
      </c>
      <c r="F54" s="127">
        <v>10661178989127</v>
      </c>
      <c r="G54" s="127">
        <v>11084871211801</v>
      </c>
      <c r="H54" s="127">
        <v>11222490978401</v>
      </c>
      <c r="I54" s="127">
        <v>12672173477939</v>
      </c>
      <c r="J54" s="127">
        <v>12607408568426</v>
      </c>
      <c r="K54" s="127">
        <v>12887113859820</v>
      </c>
      <c r="L54" s="127">
        <v>13075331880715</v>
      </c>
      <c r="M54" s="127">
        <v>14091243420444</v>
      </c>
      <c r="N54" s="127">
        <v>13624909477870</v>
      </c>
      <c r="O54" s="127">
        <v>14423154322099</v>
      </c>
      <c r="P54" s="127">
        <v>15712209507638</v>
      </c>
      <c r="Q54" s="127">
        <v>16878091073148</v>
      </c>
      <c r="R54" s="127">
        <v>15296866906331</v>
      </c>
      <c r="S54" s="127">
        <v>16149431090789</v>
      </c>
      <c r="T54" s="127">
        <v>16710229570163</v>
      </c>
      <c r="U54" s="127">
        <v>17568017774578</v>
      </c>
      <c r="V54" s="127">
        <v>16658840369645</v>
      </c>
      <c r="W54" s="127">
        <v>16316381204797</v>
      </c>
      <c r="X54" s="127">
        <v>15917724100860</v>
      </c>
      <c r="Y54" s="75"/>
    </row>
    <row r="55" spans="2:25">
      <c r="B55" s="78"/>
      <c r="C55" s="65" t="s">
        <v>59</v>
      </c>
      <c r="D55" s="91"/>
      <c r="E55" s="127">
        <v>2652092865505</v>
      </c>
      <c r="F55" s="127">
        <v>2658377795816</v>
      </c>
      <c r="G55" s="127">
        <v>2551863789452</v>
      </c>
      <c r="H55" s="127">
        <v>2577108805851</v>
      </c>
      <c r="I55" s="127">
        <v>3848869597821</v>
      </c>
      <c r="J55" s="127">
        <v>3858586634688</v>
      </c>
      <c r="K55" s="127">
        <v>3362011464588</v>
      </c>
      <c r="L55" s="127">
        <v>3176726211674</v>
      </c>
      <c r="M55" s="127">
        <v>3507575318490</v>
      </c>
      <c r="N55" s="127">
        <v>3124616228566</v>
      </c>
      <c r="O55" s="127">
        <v>3325096534171</v>
      </c>
      <c r="P55" s="127">
        <v>3534656089431</v>
      </c>
      <c r="Q55" s="127">
        <v>4040387562605</v>
      </c>
      <c r="R55" s="127">
        <v>3747342452503</v>
      </c>
      <c r="S55" s="127">
        <v>4253260300565</v>
      </c>
      <c r="T55" s="127">
        <v>4431038459634</v>
      </c>
      <c r="U55" s="127">
        <v>4611540125551</v>
      </c>
      <c r="V55" s="127">
        <v>4979643328585</v>
      </c>
      <c r="W55" s="127">
        <v>4178640601764</v>
      </c>
      <c r="X55" s="127">
        <v>3243168544925</v>
      </c>
      <c r="Y55" s="75"/>
    </row>
    <row r="56" spans="2:25" ht="17">
      <c r="B56" s="78"/>
      <c r="C56" s="94" t="s">
        <v>57</v>
      </c>
      <c r="D56" s="68"/>
      <c r="E56" s="127">
        <v>5365509312496</v>
      </c>
      <c r="F56" s="127">
        <v>5813153356612</v>
      </c>
      <c r="G56" s="127">
        <v>5648145037073</v>
      </c>
      <c r="H56" s="127">
        <v>5806668654857</v>
      </c>
      <c r="I56" s="127">
        <v>5795613126647</v>
      </c>
      <c r="J56" s="127">
        <v>5808899010368</v>
      </c>
      <c r="K56" s="127">
        <v>5491325719567</v>
      </c>
      <c r="L56" s="127">
        <v>6016817134642</v>
      </c>
      <c r="M56" s="127">
        <v>6015414546803</v>
      </c>
      <c r="N56" s="127">
        <v>6355012116055</v>
      </c>
      <c r="O56" s="127">
        <v>6728268420076</v>
      </c>
      <c r="P56" s="127">
        <v>7162499429379</v>
      </c>
      <c r="Q56" s="127">
        <v>7015705508492</v>
      </c>
      <c r="R56" s="127">
        <v>6858880527895</v>
      </c>
      <c r="S56" s="127">
        <v>7307184595928</v>
      </c>
      <c r="T56" s="127">
        <v>7751732014404</v>
      </c>
      <c r="U56" s="127">
        <v>7869160883079</v>
      </c>
      <c r="V56" s="127">
        <v>7309768475563</v>
      </c>
      <c r="W56" s="127">
        <v>7382077055132</v>
      </c>
      <c r="X56" s="127">
        <v>7888127663844</v>
      </c>
      <c r="Y56" s="75"/>
    </row>
    <row r="57" spans="2:25">
      <c r="B57" s="78"/>
      <c r="C57" s="65" t="s">
        <v>56</v>
      </c>
      <c r="D57" s="91"/>
      <c r="E57" s="127">
        <v>19177851015254</v>
      </c>
      <c r="F57" s="127">
        <v>18813050576863</v>
      </c>
      <c r="G57" s="127">
        <v>19593943644192</v>
      </c>
      <c r="H57" s="127">
        <v>20264726862584</v>
      </c>
      <c r="I57" s="127">
        <v>22132154299532</v>
      </c>
      <c r="J57" s="127">
        <v>22091102524240</v>
      </c>
      <c r="K57" s="127">
        <v>22450538569712</v>
      </c>
      <c r="L57" s="127">
        <v>22564300317374</v>
      </c>
      <c r="M57" s="127">
        <v>23931375139708</v>
      </c>
      <c r="N57" s="127">
        <v>23407459736800</v>
      </c>
      <c r="O57" s="127">
        <v>24266776390675</v>
      </c>
      <c r="P57" s="127">
        <v>25666635156271</v>
      </c>
      <c r="Q57" s="127">
        <v>26861580833610</v>
      </c>
      <c r="R57" s="127">
        <v>25263347746818</v>
      </c>
      <c r="S57" s="127">
        <v>26187153770787</v>
      </c>
      <c r="T57" s="127">
        <v>27241313025674</v>
      </c>
      <c r="U57" s="127">
        <v>28239682358888</v>
      </c>
      <c r="V57" s="127">
        <v>27419566533634</v>
      </c>
      <c r="W57" s="127">
        <v>27181763267078</v>
      </c>
      <c r="X57" s="127">
        <v>27057568182323</v>
      </c>
      <c r="Y57" s="75"/>
    </row>
    <row r="58" spans="2:25">
      <c r="B58" s="78"/>
      <c r="C58" s="65" t="s">
        <v>55</v>
      </c>
      <c r="D58" s="91"/>
      <c r="E58" s="127">
        <v>3320263540428</v>
      </c>
      <c r="F58" s="127">
        <v>3516192523835</v>
      </c>
      <c r="G58" s="127">
        <v>3458042857031</v>
      </c>
      <c r="H58" s="127">
        <v>3559144386553</v>
      </c>
      <c r="I58" s="127">
        <v>4875822010750</v>
      </c>
      <c r="J58" s="127">
        <v>4910431690506</v>
      </c>
      <c r="K58" s="127">
        <v>4547942043296</v>
      </c>
      <c r="L58" s="127">
        <v>4288218173294</v>
      </c>
      <c r="M58" s="127">
        <v>4475955996229</v>
      </c>
      <c r="N58" s="127">
        <v>4090665228445</v>
      </c>
      <c r="O58" s="127">
        <v>4275035066846</v>
      </c>
      <c r="P58" s="127">
        <v>4400757363148</v>
      </c>
      <c r="Q58" s="127">
        <v>4915600828178</v>
      </c>
      <c r="R58" s="127">
        <v>4533532672642</v>
      </c>
      <c r="S58" s="127">
        <v>5038334235923</v>
      </c>
      <c r="T58" s="127">
        <v>5143984823285</v>
      </c>
      <c r="U58" s="127">
        <v>5318489409734</v>
      </c>
      <c r="V58" s="127">
        <v>5642937693481</v>
      </c>
      <c r="W58" s="127">
        <v>4808027354414</v>
      </c>
      <c r="X58" s="127">
        <v>3937546172108</v>
      </c>
      <c r="Y58" s="75"/>
    </row>
    <row r="59" spans="2:25" ht="17">
      <c r="B59" s="78">
        <v>10</v>
      </c>
      <c r="C59" s="63" t="s">
        <v>125</v>
      </c>
      <c r="D59" s="68" t="s">
        <v>126</v>
      </c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75"/>
    </row>
    <row r="60" spans="2:25">
      <c r="B60" s="78"/>
      <c r="C60" s="65" t="s">
        <v>58</v>
      </c>
      <c r="D60" s="91"/>
      <c r="E60" s="127">
        <v>9983449638</v>
      </c>
      <c r="F60" s="127">
        <v>9587811405</v>
      </c>
      <c r="G60" s="127">
        <v>9587811405</v>
      </c>
      <c r="H60" s="127">
        <v>9642587369</v>
      </c>
      <c r="I60" s="127">
        <v>9762660535</v>
      </c>
      <c r="J60" s="127">
        <v>9762660535</v>
      </c>
      <c r="K60" s="127">
        <v>9299440141</v>
      </c>
      <c r="L60" s="127">
        <v>8590023831</v>
      </c>
      <c r="M60" s="127">
        <v>8832870547</v>
      </c>
      <c r="N60" s="127">
        <v>11286678758</v>
      </c>
      <c r="O60" s="127">
        <v>11144073919</v>
      </c>
      <c r="P60" s="127">
        <v>11453040378</v>
      </c>
      <c r="Q60" s="127">
        <v>12608920943</v>
      </c>
      <c r="R60" s="127">
        <v>12608920943</v>
      </c>
      <c r="S60" s="127">
        <v>12656739414</v>
      </c>
      <c r="T60" s="127">
        <v>12253466079</v>
      </c>
      <c r="U60" s="127">
        <v>12362394221</v>
      </c>
      <c r="V60" s="127">
        <v>12254551581</v>
      </c>
      <c r="W60" s="127">
        <v>12532551363</v>
      </c>
      <c r="X60" s="127">
        <v>13055426298</v>
      </c>
      <c r="Y60" s="75"/>
    </row>
    <row r="61" spans="2:25">
      <c r="B61" s="78"/>
      <c r="C61" s="65" t="s">
        <v>59</v>
      </c>
      <c r="D61" s="91"/>
      <c r="E61" s="127">
        <v>4217754786</v>
      </c>
      <c r="F61" s="127">
        <v>3611897393</v>
      </c>
      <c r="G61" s="127">
        <v>3611897393</v>
      </c>
      <c r="H61" s="127">
        <v>3373096633</v>
      </c>
      <c r="I61" s="127">
        <v>3937421244</v>
      </c>
      <c r="J61" s="127">
        <v>3937421244</v>
      </c>
      <c r="K61" s="127">
        <v>3373459266</v>
      </c>
      <c r="L61" s="127">
        <v>4336698236</v>
      </c>
      <c r="M61" s="127">
        <v>4427509857</v>
      </c>
      <c r="N61" s="127">
        <v>4337919952</v>
      </c>
      <c r="O61" s="127">
        <v>3789945865</v>
      </c>
      <c r="P61" s="127">
        <v>3018980942</v>
      </c>
      <c r="Q61" s="127">
        <v>2849062852</v>
      </c>
      <c r="R61" s="127">
        <v>2849062852</v>
      </c>
      <c r="S61" s="127">
        <v>2751107929</v>
      </c>
      <c r="T61" s="127">
        <v>2633500064</v>
      </c>
      <c r="U61" s="127">
        <v>2851672166</v>
      </c>
      <c r="V61" s="127">
        <v>2916538136</v>
      </c>
      <c r="W61" s="127">
        <v>2667145074</v>
      </c>
      <c r="X61" s="127">
        <v>2532140718</v>
      </c>
      <c r="Y61" s="75"/>
    </row>
    <row r="62" spans="2:25" ht="17">
      <c r="B62" s="78"/>
      <c r="C62" s="94" t="s">
        <v>57</v>
      </c>
      <c r="D62" s="68"/>
      <c r="E62" s="127">
        <v>1710982124</v>
      </c>
      <c r="F62" s="127">
        <v>1793946472</v>
      </c>
      <c r="G62" s="127">
        <v>1735486059</v>
      </c>
      <c r="H62" s="127">
        <v>1961586538</v>
      </c>
      <c r="I62" s="127">
        <v>1650559559</v>
      </c>
      <c r="J62" s="127">
        <v>323599575</v>
      </c>
      <c r="K62" s="127">
        <v>1072528081</v>
      </c>
      <c r="L62" s="127">
        <v>930524096</v>
      </c>
      <c r="M62" s="127">
        <v>1116165169</v>
      </c>
      <c r="N62" s="127">
        <v>1343524893</v>
      </c>
      <c r="O62" s="127">
        <v>1328577659</v>
      </c>
      <c r="P62" s="127">
        <v>1925005231</v>
      </c>
      <c r="Q62" s="127">
        <v>1307192252</v>
      </c>
      <c r="R62" s="127">
        <v>1443731688</v>
      </c>
      <c r="S62" s="127">
        <v>1744340240</v>
      </c>
      <c r="T62" s="127">
        <v>1492168527</v>
      </c>
      <c r="U62" s="127">
        <v>1384542058</v>
      </c>
      <c r="V62" s="127">
        <v>1512025965</v>
      </c>
      <c r="W62" s="127">
        <v>1672670709</v>
      </c>
      <c r="X62" s="127">
        <v>1631199673</v>
      </c>
      <c r="Y62" s="75"/>
    </row>
    <row r="63" spans="2:25">
      <c r="B63" s="78"/>
      <c r="C63" s="65" t="s">
        <v>56</v>
      </c>
      <c r="D63" s="91"/>
      <c r="E63" s="127">
        <v>25458212998</v>
      </c>
      <c r="F63" s="127">
        <v>25655668473</v>
      </c>
      <c r="G63" s="127">
        <v>25655668473</v>
      </c>
      <c r="H63" s="127">
        <v>26095153343</v>
      </c>
      <c r="I63" s="127">
        <v>26492459196</v>
      </c>
      <c r="J63" s="127">
        <v>26492459196</v>
      </c>
      <c r="K63" s="127">
        <v>26046376431</v>
      </c>
      <c r="L63" s="127">
        <v>26458805377</v>
      </c>
      <c r="M63" s="127">
        <v>26662454631</v>
      </c>
      <c r="N63" s="127">
        <v>29035591936</v>
      </c>
      <c r="O63" s="127">
        <v>28675013473</v>
      </c>
      <c r="P63" s="127">
        <v>28866081129</v>
      </c>
      <c r="Q63" s="127">
        <v>29722327027</v>
      </c>
      <c r="R63" s="127">
        <v>29722327027</v>
      </c>
      <c r="S63" s="127">
        <v>30034158815</v>
      </c>
      <c r="T63" s="127">
        <v>30602179916</v>
      </c>
      <c r="U63" s="127">
        <v>31231139818</v>
      </c>
      <c r="V63" s="127">
        <v>31583916930</v>
      </c>
      <c r="W63" s="127">
        <v>32055949001</v>
      </c>
      <c r="X63" s="127">
        <v>32710786983</v>
      </c>
      <c r="Y63" s="75"/>
    </row>
    <row r="64" spans="2:25">
      <c r="B64" s="78"/>
      <c r="C64" s="65" t="s">
        <v>55</v>
      </c>
      <c r="D64" s="91"/>
      <c r="E64" s="127">
        <v>9285679190</v>
      </c>
      <c r="F64" s="127">
        <v>8294892944</v>
      </c>
      <c r="G64" s="127">
        <v>8294892944</v>
      </c>
      <c r="H64" s="127">
        <v>7999510286</v>
      </c>
      <c r="I64" s="127">
        <v>9458926481</v>
      </c>
      <c r="J64" s="127">
        <v>9458926481</v>
      </c>
      <c r="K64" s="127">
        <v>8808572784</v>
      </c>
      <c r="L64" s="127">
        <v>8860110106</v>
      </c>
      <c r="M64" s="127">
        <v>8809405994</v>
      </c>
      <c r="N64" s="127">
        <v>10910315661</v>
      </c>
      <c r="O64" s="127">
        <v>10274912441</v>
      </c>
      <c r="P64" s="127">
        <v>9687642670</v>
      </c>
      <c r="Q64" s="127">
        <v>9683255877</v>
      </c>
      <c r="R64" s="127">
        <v>9683255877</v>
      </c>
      <c r="S64" s="127">
        <v>9751808758</v>
      </c>
      <c r="T64" s="127">
        <v>9883903905</v>
      </c>
      <c r="U64" s="127">
        <v>9857265463</v>
      </c>
      <c r="V64" s="127">
        <v>9915622123</v>
      </c>
      <c r="W64" s="127">
        <v>9911594854</v>
      </c>
      <c r="X64" s="127">
        <v>9915452617</v>
      </c>
      <c r="Y64" s="75"/>
    </row>
    <row r="65" spans="2:25" ht="17">
      <c r="B65" s="78">
        <v>11</v>
      </c>
      <c r="C65" s="94" t="s">
        <v>127</v>
      </c>
      <c r="D65" s="68" t="s">
        <v>128</v>
      </c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75"/>
    </row>
    <row r="66" spans="2:25">
      <c r="B66" s="78"/>
      <c r="C66" s="65" t="s">
        <v>58</v>
      </c>
      <c r="D66" s="91"/>
      <c r="E66" s="127">
        <v>3824830923</v>
      </c>
      <c r="F66" s="127">
        <v>3974508378</v>
      </c>
      <c r="G66" s="127">
        <v>3847272031</v>
      </c>
      <c r="H66" s="127">
        <v>3559331625</v>
      </c>
      <c r="I66" s="127">
        <v>4008792759</v>
      </c>
      <c r="J66" s="127">
        <v>3628975711</v>
      </c>
      <c r="K66" s="127">
        <v>3749119322</v>
      </c>
      <c r="L66" s="127">
        <v>3609040737</v>
      </c>
      <c r="M66" s="127">
        <v>3684185686</v>
      </c>
      <c r="N66" s="127">
        <v>3777989683</v>
      </c>
      <c r="O66" s="127">
        <v>3787776789</v>
      </c>
      <c r="P66" s="127">
        <v>6660356466</v>
      </c>
      <c r="Q66" s="127">
        <v>6796023749</v>
      </c>
      <c r="R66" s="127">
        <v>7903742310</v>
      </c>
      <c r="S66" s="127">
        <v>7903742310</v>
      </c>
      <c r="T66" s="127">
        <v>7629132798</v>
      </c>
      <c r="U66" s="127">
        <v>7196867968</v>
      </c>
      <c r="V66" s="127">
        <v>6991745660</v>
      </c>
      <c r="W66" s="127">
        <v>6939380069</v>
      </c>
      <c r="X66" s="127">
        <v>7427106376</v>
      </c>
      <c r="Y66" s="75"/>
    </row>
    <row r="67" spans="2:25">
      <c r="B67" s="78"/>
      <c r="C67" s="65" t="s">
        <v>59</v>
      </c>
      <c r="D67" s="91"/>
      <c r="E67" s="127">
        <v>864367298</v>
      </c>
      <c r="F67" s="127">
        <v>1049123229</v>
      </c>
      <c r="G67" s="127">
        <v>1075964200</v>
      </c>
      <c r="H67" s="127">
        <v>988970149</v>
      </c>
      <c r="I67" s="127">
        <v>1148649881</v>
      </c>
      <c r="J67" s="127">
        <v>889904433</v>
      </c>
      <c r="K67" s="127">
        <v>1042502202</v>
      </c>
      <c r="L67" s="127">
        <v>1542474950</v>
      </c>
      <c r="M67" s="127">
        <v>1501898469</v>
      </c>
      <c r="N67" s="127">
        <v>1278308719</v>
      </c>
      <c r="O67" s="127">
        <v>1349362768</v>
      </c>
      <c r="P67" s="127">
        <v>1697696732</v>
      </c>
      <c r="Q67" s="127">
        <v>1692809257</v>
      </c>
      <c r="R67" s="127">
        <v>1835664271</v>
      </c>
      <c r="S67" s="127">
        <v>1835664271</v>
      </c>
      <c r="T67" s="127">
        <v>2082974919</v>
      </c>
      <c r="U67" s="127">
        <v>1753483047</v>
      </c>
      <c r="V67" s="127">
        <v>2109801858</v>
      </c>
      <c r="W67" s="127">
        <v>1923584726</v>
      </c>
      <c r="X67" s="127">
        <v>2278213517</v>
      </c>
      <c r="Y67" s="75"/>
    </row>
    <row r="68" spans="2:25" ht="17">
      <c r="B68" s="78"/>
      <c r="C68" s="94" t="s">
        <v>57</v>
      </c>
      <c r="D68" s="68"/>
      <c r="E68" s="127">
        <v>1250504107</v>
      </c>
      <c r="F68" s="127">
        <v>1515613916</v>
      </c>
      <c r="G68" s="127">
        <v>1379179426</v>
      </c>
      <c r="H68" s="127">
        <v>1378065048</v>
      </c>
      <c r="I68" s="127">
        <v>1304414264</v>
      </c>
      <c r="J68" s="127">
        <v>1056905263</v>
      </c>
      <c r="K68" s="127">
        <v>1223618477</v>
      </c>
      <c r="L68" s="127">
        <v>1516175255</v>
      </c>
      <c r="M68" s="127">
        <v>1403798165</v>
      </c>
      <c r="N68" s="127">
        <v>1543427731</v>
      </c>
      <c r="O68" s="127">
        <v>1443505840</v>
      </c>
      <c r="P68" s="127">
        <v>1539529357</v>
      </c>
      <c r="Q68" s="127">
        <v>1534684384</v>
      </c>
      <c r="R68" s="127">
        <v>1628908897</v>
      </c>
      <c r="S68" s="127">
        <v>1788193703</v>
      </c>
      <c r="T68" s="127">
        <v>2180746925</v>
      </c>
      <c r="U68" s="127">
        <v>1529266182</v>
      </c>
      <c r="V68" s="127">
        <v>1503126806</v>
      </c>
      <c r="W68" s="127">
        <v>1757965060</v>
      </c>
      <c r="X68" s="127">
        <v>1722839369</v>
      </c>
      <c r="Y68" s="75"/>
    </row>
    <row r="69" spans="2:25">
      <c r="B69" s="78"/>
      <c r="C69" s="65" t="s">
        <v>56</v>
      </c>
      <c r="D69" s="91"/>
      <c r="E69" s="127">
        <v>6565029652</v>
      </c>
      <c r="F69" s="127">
        <v>6901397056</v>
      </c>
      <c r="G69" s="127">
        <v>7114718467</v>
      </c>
      <c r="H69" s="127">
        <v>6716724073</v>
      </c>
      <c r="I69" s="127">
        <v>7187914863</v>
      </c>
      <c r="J69" s="127">
        <v>6788783649</v>
      </c>
      <c r="K69" s="127">
        <v>6891163811</v>
      </c>
      <c r="L69" s="127">
        <v>6766903494</v>
      </c>
      <c r="M69" s="127">
        <v>6859864628</v>
      </c>
      <c r="N69" s="127">
        <v>6930044625</v>
      </c>
      <c r="O69" s="127">
        <v>6988066146</v>
      </c>
      <c r="P69" s="127">
        <v>9913440970</v>
      </c>
      <c r="Q69" s="127">
        <v>10144250712</v>
      </c>
      <c r="R69" s="127">
        <v>11359142061</v>
      </c>
      <c r="S69" s="127">
        <v>11359142061</v>
      </c>
      <c r="T69" s="127">
        <v>10959097127</v>
      </c>
      <c r="U69" s="127">
        <v>10636787148</v>
      </c>
      <c r="V69" s="127">
        <v>10555453649</v>
      </c>
      <c r="W69" s="127">
        <v>10509926921</v>
      </c>
      <c r="X69" s="127">
        <v>11052506174</v>
      </c>
      <c r="Y69" s="75"/>
    </row>
    <row r="70" spans="2:25">
      <c r="B70" s="78"/>
      <c r="C70" s="65" t="s">
        <v>55</v>
      </c>
      <c r="D70" s="91"/>
      <c r="E70" s="127">
        <v>1105118819</v>
      </c>
      <c r="F70" s="127">
        <v>1282305266</v>
      </c>
      <c r="G70" s="127">
        <v>1321305356</v>
      </c>
      <c r="H70" s="127">
        <v>1228125546</v>
      </c>
      <c r="I70" s="127">
        <v>1399388541</v>
      </c>
      <c r="J70" s="127">
        <v>1154596970</v>
      </c>
      <c r="K70" s="127">
        <v>1319569611</v>
      </c>
      <c r="L70" s="127">
        <v>2870316946</v>
      </c>
      <c r="M70" s="127">
        <v>2623960419</v>
      </c>
      <c r="N70" s="127">
        <v>2259882030</v>
      </c>
      <c r="O70" s="127">
        <v>1990565999</v>
      </c>
      <c r="P70" s="127">
        <v>2452264250</v>
      </c>
      <c r="Q70" s="127">
        <v>2392804723</v>
      </c>
      <c r="R70" s="127">
        <v>2518042830</v>
      </c>
      <c r="S70" s="127">
        <v>2518042830</v>
      </c>
      <c r="T70" s="127">
        <v>2249801234</v>
      </c>
      <c r="U70" s="127">
        <v>1919124930</v>
      </c>
      <c r="V70" s="127">
        <v>2291863395</v>
      </c>
      <c r="W70" s="127">
        <v>2102211396</v>
      </c>
      <c r="X70" s="127">
        <v>2569934269</v>
      </c>
      <c r="Y70" s="75"/>
    </row>
    <row r="71" spans="2:25" ht="17">
      <c r="B71" s="78">
        <v>12</v>
      </c>
      <c r="C71" s="94" t="s">
        <v>129</v>
      </c>
      <c r="D71" s="68" t="s">
        <v>130</v>
      </c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75"/>
    </row>
    <row r="72" spans="2:25">
      <c r="B72" s="78"/>
      <c r="C72" s="65" t="s">
        <v>58</v>
      </c>
      <c r="D72" s="91"/>
      <c r="E72" s="127">
        <v>55648606</v>
      </c>
      <c r="F72" s="127">
        <v>57502770</v>
      </c>
      <c r="G72" s="127">
        <v>57502770</v>
      </c>
      <c r="H72" s="127">
        <v>50826955</v>
      </c>
      <c r="I72" s="127">
        <v>49255715</v>
      </c>
      <c r="J72" s="127">
        <v>44950066</v>
      </c>
      <c r="K72" s="127">
        <v>45475097</v>
      </c>
      <c r="L72" s="127">
        <v>44195782</v>
      </c>
      <c r="M72" s="127">
        <v>49179760</v>
      </c>
      <c r="N72" s="127">
        <v>52116761</v>
      </c>
      <c r="O72" s="127">
        <v>57192554</v>
      </c>
      <c r="P72" s="127">
        <v>60604068</v>
      </c>
      <c r="Q72" s="127">
        <v>66342216</v>
      </c>
      <c r="R72" s="127">
        <v>73640722</v>
      </c>
      <c r="S72" s="127">
        <v>81282703</v>
      </c>
      <c r="T72" s="127">
        <v>78930048</v>
      </c>
      <c r="U72" s="127">
        <v>86830701</v>
      </c>
      <c r="V72" s="127">
        <v>67844633</v>
      </c>
      <c r="W72" s="127">
        <v>72623208</v>
      </c>
      <c r="X72" s="127">
        <v>62667105</v>
      </c>
      <c r="Y72" s="75"/>
    </row>
    <row r="73" spans="2:25">
      <c r="B73" s="78"/>
      <c r="C73" s="65" t="s">
        <v>59</v>
      </c>
      <c r="D73" s="91"/>
      <c r="E73" s="127">
        <v>41920066</v>
      </c>
      <c r="F73" s="127">
        <v>41143176</v>
      </c>
      <c r="G73" s="127">
        <v>41143176</v>
      </c>
      <c r="H73" s="127">
        <v>32585529</v>
      </c>
      <c r="I73" s="127">
        <v>27269165</v>
      </c>
      <c r="J73" s="127">
        <v>25648300</v>
      </c>
      <c r="K73" s="127">
        <v>22994275</v>
      </c>
      <c r="L73" s="127">
        <v>20943824</v>
      </c>
      <c r="M73" s="127">
        <v>25039639</v>
      </c>
      <c r="N73" s="127">
        <v>27358810</v>
      </c>
      <c r="O73" s="127">
        <v>29537128</v>
      </c>
      <c r="P73" s="127">
        <v>30489218</v>
      </c>
      <c r="Q73" s="127">
        <v>32606370</v>
      </c>
      <c r="R73" s="127">
        <v>37991591</v>
      </c>
      <c r="S73" s="127">
        <v>46673298</v>
      </c>
      <c r="T73" s="127">
        <v>42037402</v>
      </c>
      <c r="U73" s="127">
        <v>50277568</v>
      </c>
      <c r="V73" s="127">
        <v>49842101</v>
      </c>
      <c r="W73" s="127">
        <v>65553431</v>
      </c>
      <c r="X73" s="127">
        <v>43038299</v>
      </c>
      <c r="Y73" s="75"/>
    </row>
    <row r="74" spans="2:25" ht="17">
      <c r="B74" s="78"/>
      <c r="C74" s="94" t="s">
        <v>57</v>
      </c>
      <c r="D74" s="68"/>
      <c r="E74" s="127">
        <v>22621328</v>
      </c>
      <c r="F74" s="127">
        <v>20698039</v>
      </c>
      <c r="G74" s="127">
        <v>22288567</v>
      </c>
      <c r="H74" s="127">
        <v>18822544</v>
      </c>
      <c r="I74" s="127">
        <v>18313998</v>
      </c>
      <c r="J74" s="127">
        <v>14877657</v>
      </c>
      <c r="K74" s="127">
        <v>13274822</v>
      </c>
      <c r="L74" s="127">
        <v>13880307</v>
      </c>
      <c r="M74" s="127">
        <v>17897507</v>
      </c>
      <c r="N74" s="127">
        <v>19413087</v>
      </c>
      <c r="O74" s="127">
        <v>20511772</v>
      </c>
      <c r="P74" s="127">
        <v>21638137</v>
      </c>
      <c r="Q74" s="127">
        <v>27978713</v>
      </c>
      <c r="R74" s="127">
        <v>32468173</v>
      </c>
      <c r="S74" s="127">
        <v>31086411</v>
      </c>
      <c r="T74" s="127">
        <v>32074163</v>
      </c>
      <c r="U74" s="127">
        <v>34888824</v>
      </c>
      <c r="V74" s="127">
        <v>33788081</v>
      </c>
      <c r="W74" s="127">
        <v>28920659</v>
      </c>
      <c r="X74" s="127">
        <v>30985700</v>
      </c>
      <c r="Y74" s="75"/>
    </row>
    <row r="75" spans="2:25">
      <c r="B75" s="78"/>
      <c r="C75" s="65" t="s">
        <v>56</v>
      </c>
      <c r="D75" s="91"/>
      <c r="E75" s="127">
        <v>116924761</v>
      </c>
      <c r="F75" s="127">
        <v>119338066</v>
      </c>
      <c r="G75" s="127">
        <v>119338066</v>
      </c>
      <c r="H75" s="127">
        <v>111713375</v>
      </c>
      <c r="I75" s="127">
        <v>114908529</v>
      </c>
      <c r="J75" s="127">
        <v>104220997</v>
      </c>
      <c r="K75" s="127">
        <v>104591240</v>
      </c>
      <c r="L75" s="127">
        <v>99800963</v>
      </c>
      <c r="M75" s="127">
        <v>105302282</v>
      </c>
      <c r="N75" s="127">
        <v>106860045</v>
      </c>
      <c r="O75" s="127">
        <v>110693218</v>
      </c>
      <c r="P75" s="127">
        <v>112561356</v>
      </c>
      <c r="Q75" s="127">
        <v>120094702</v>
      </c>
      <c r="R75" s="127">
        <v>129237472</v>
      </c>
      <c r="S75" s="127">
        <v>140170657</v>
      </c>
      <c r="T75" s="127">
        <v>140478220</v>
      </c>
      <c r="U75" s="127">
        <v>150701142</v>
      </c>
      <c r="V75" s="127">
        <v>134463146</v>
      </c>
      <c r="W75" s="127">
        <v>153141630</v>
      </c>
      <c r="X75" s="127">
        <v>154028248</v>
      </c>
      <c r="Y75" s="75"/>
    </row>
    <row r="76" spans="2:25">
      <c r="B76" s="78"/>
      <c r="C76" s="65" t="s">
        <v>55</v>
      </c>
      <c r="D76" s="91"/>
      <c r="E76" s="127">
        <v>57163435</v>
      </c>
      <c r="F76" s="127">
        <v>58326512</v>
      </c>
      <c r="G76" s="127">
        <v>58326512</v>
      </c>
      <c r="H76" s="127">
        <v>50603301</v>
      </c>
      <c r="I76" s="127">
        <v>48510914</v>
      </c>
      <c r="J76" s="127">
        <v>42637957</v>
      </c>
      <c r="K76" s="127">
        <v>40544611</v>
      </c>
      <c r="L76" s="127">
        <v>36653823</v>
      </c>
      <c r="M76" s="127">
        <v>38258316</v>
      </c>
      <c r="N76" s="127">
        <v>39205620</v>
      </c>
      <c r="O76" s="127">
        <v>41228277</v>
      </c>
      <c r="P76" s="127">
        <v>40738599</v>
      </c>
      <c r="Q76" s="127">
        <v>42974013</v>
      </c>
      <c r="R76" s="127">
        <v>47275914</v>
      </c>
      <c r="S76" s="127">
        <v>56396754</v>
      </c>
      <c r="T76" s="127">
        <v>50964395</v>
      </c>
      <c r="U76" s="127">
        <v>59006724</v>
      </c>
      <c r="V76" s="127">
        <v>58641919</v>
      </c>
      <c r="W76" s="127">
        <v>74375782</v>
      </c>
      <c r="X76" s="127">
        <v>69992685</v>
      </c>
      <c r="Y76" s="75"/>
    </row>
    <row r="77" spans="2:25" ht="17">
      <c r="B77" s="78">
        <v>13</v>
      </c>
      <c r="C77" s="94" t="s">
        <v>134</v>
      </c>
      <c r="D77" s="68" t="s">
        <v>133</v>
      </c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75"/>
    </row>
    <row r="78" spans="2:25">
      <c r="B78" s="78"/>
      <c r="C78" s="65" t="s">
        <v>58</v>
      </c>
      <c r="D78" s="91"/>
      <c r="E78" s="127">
        <v>510332</v>
      </c>
      <c r="F78" s="127">
        <v>459796</v>
      </c>
      <c r="G78" s="127">
        <v>459796</v>
      </c>
      <c r="H78" s="127">
        <v>588313</v>
      </c>
      <c r="I78" s="127">
        <v>577316</v>
      </c>
      <c r="J78" s="127">
        <v>587808</v>
      </c>
      <c r="K78" s="127">
        <v>66791</v>
      </c>
      <c r="L78" s="127">
        <v>695972</v>
      </c>
      <c r="M78" s="127">
        <v>706953</v>
      </c>
      <c r="N78" s="127">
        <v>729798</v>
      </c>
      <c r="O78" s="127">
        <v>807397</v>
      </c>
      <c r="P78" s="127">
        <v>836576</v>
      </c>
      <c r="Q78" s="127">
        <v>884285</v>
      </c>
      <c r="R78" s="127">
        <v>970629</v>
      </c>
      <c r="S78" s="127">
        <v>1023257</v>
      </c>
      <c r="T78" s="127">
        <v>989802</v>
      </c>
      <c r="U78" s="127">
        <v>1087104</v>
      </c>
      <c r="V78" s="127">
        <v>1069406</v>
      </c>
      <c r="W78" s="127">
        <v>1099942</v>
      </c>
      <c r="X78" s="127">
        <v>1033119</v>
      </c>
      <c r="Y78" s="75"/>
    </row>
    <row r="79" spans="2:25">
      <c r="B79" s="78"/>
      <c r="C79" s="65" t="s">
        <v>59</v>
      </c>
      <c r="D79" s="91"/>
      <c r="E79" s="127">
        <v>137029</v>
      </c>
      <c r="F79" s="127">
        <v>106098</v>
      </c>
      <c r="G79" s="127">
        <v>106098</v>
      </c>
      <c r="H79" s="127">
        <v>136552</v>
      </c>
      <c r="I79" s="127">
        <v>107349</v>
      </c>
      <c r="J79" s="127">
        <v>118188</v>
      </c>
      <c r="K79" s="127">
        <v>139976</v>
      </c>
      <c r="L79" s="127">
        <v>160710</v>
      </c>
      <c r="M79" s="127">
        <v>149382</v>
      </c>
      <c r="N79" s="127">
        <v>159356</v>
      </c>
      <c r="O79" s="127">
        <v>161464</v>
      </c>
      <c r="P79" s="127">
        <v>16843</v>
      </c>
      <c r="Q79" s="127">
        <v>170545</v>
      </c>
      <c r="R79" s="127">
        <v>170982</v>
      </c>
      <c r="S79" s="127">
        <v>194162</v>
      </c>
      <c r="T79" s="127">
        <v>175039</v>
      </c>
      <c r="U79" s="127">
        <v>205381</v>
      </c>
      <c r="V79" s="127">
        <v>202161</v>
      </c>
      <c r="W79" s="127">
        <v>221021</v>
      </c>
      <c r="X79" s="127">
        <v>216727</v>
      </c>
      <c r="Y79" s="75"/>
    </row>
    <row r="80" spans="2:25" ht="17">
      <c r="B80" s="78"/>
      <c r="C80" s="94" t="s">
        <v>57</v>
      </c>
      <c r="D80" s="68"/>
      <c r="E80" s="127">
        <v>126428</v>
      </c>
      <c r="F80" s="127">
        <v>165822</v>
      </c>
      <c r="G80" s="127">
        <v>214211</v>
      </c>
      <c r="H80" s="127">
        <v>275551</v>
      </c>
      <c r="I80" s="127">
        <v>174659</v>
      </c>
      <c r="J80" s="127">
        <v>185718</v>
      </c>
      <c r="K80" s="127">
        <v>210643</v>
      </c>
      <c r="L80" s="127">
        <v>193724</v>
      </c>
      <c r="M80" s="127">
        <v>206555</v>
      </c>
      <c r="N80" s="127">
        <v>208392</v>
      </c>
      <c r="O80" s="127">
        <v>271486</v>
      </c>
      <c r="P80" s="127">
        <v>266741</v>
      </c>
      <c r="Q80" s="127">
        <v>235085</v>
      </c>
      <c r="R80" s="127">
        <v>329451</v>
      </c>
      <c r="S80" s="127">
        <v>309241</v>
      </c>
      <c r="T80" s="127">
        <v>305675</v>
      </c>
      <c r="U80" s="127">
        <v>36318</v>
      </c>
      <c r="V80" s="127">
        <v>622649</v>
      </c>
      <c r="W80" s="127">
        <v>278929</v>
      </c>
      <c r="X80" s="127">
        <v>294367</v>
      </c>
      <c r="Y80" s="75"/>
    </row>
    <row r="81" spans="2:25">
      <c r="B81" s="78"/>
      <c r="C81" s="65" t="s">
        <v>56</v>
      </c>
      <c r="D81" s="91"/>
      <c r="E81" s="127">
        <v>2139356</v>
      </c>
      <c r="F81" s="127">
        <v>2109626</v>
      </c>
      <c r="G81" s="127">
        <v>2109626</v>
      </c>
      <c r="H81" s="127">
        <v>2222688</v>
      </c>
      <c r="I81" s="127">
        <v>2197568</v>
      </c>
      <c r="J81" s="127">
        <v>2237253</v>
      </c>
      <c r="K81" s="127">
        <v>2278374</v>
      </c>
      <c r="L81" s="127">
        <v>2314658</v>
      </c>
      <c r="M81" s="127">
        <v>2326908</v>
      </c>
      <c r="N81" s="127">
        <v>2336584</v>
      </c>
      <c r="O81" s="127">
        <v>2402901</v>
      </c>
      <c r="P81" s="127">
        <v>2472828</v>
      </c>
      <c r="Q81" s="127">
        <v>2543912</v>
      </c>
      <c r="R81" s="127">
        <v>2617215</v>
      </c>
      <c r="S81" s="127">
        <v>2655419</v>
      </c>
      <c r="T81" s="127">
        <v>2658116</v>
      </c>
      <c r="U81" s="127">
        <v>2793569</v>
      </c>
      <c r="V81" s="127">
        <v>2808942</v>
      </c>
      <c r="W81" s="127">
        <v>2862637</v>
      </c>
      <c r="X81" s="127">
        <v>2925999</v>
      </c>
      <c r="Y81" s="75"/>
    </row>
    <row r="82" spans="2:25">
      <c r="B82" s="78"/>
      <c r="C82" s="65" t="s">
        <v>55</v>
      </c>
      <c r="D82" s="91"/>
      <c r="E82" s="127">
        <v>279627</v>
      </c>
      <c r="F82" s="127">
        <v>251327</v>
      </c>
      <c r="G82" s="127">
        <v>251327</v>
      </c>
      <c r="H82" s="127">
        <v>280995</v>
      </c>
      <c r="I82" s="127">
        <v>22654</v>
      </c>
      <c r="J82" s="127">
        <v>242424</v>
      </c>
      <c r="K82" s="127">
        <v>260031</v>
      </c>
      <c r="L82" s="127">
        <v>29427</v>
      </c>
      <c r="M82" s="127">
        <v>272826</v>
      </c>
      <c r="N82" s="127">
        <v>290538</v>
      </c>
      <c r="O82" s="127">
        <v>292203</v>
      </c>
      <c r="P82" s="127">
        <v>318367</v>
      </c>
      <c r="Q82" s="127">
        <v>321803</v>
      </c>
      <c r="R82" s="127">
        <v>312299</v>
      </c>
      <c r="S82" s="127">
        <v>332573</v>
      </c>
      <c r="T82" s="127">
        <v>303336</v>
      </c>
      <c r="U82" s="127">
        <v>340722</v>
      </c>
      <c r="V82" s="127">
        <v>345852</v>
      </c>
      <c r="W82" s="127">
        <v>346977</v>
      </c>
      <c r="X82" s="127">
        <v>361462</v>
      </c>
      <c r="Y82" s="75"/>
    </row>
    <row r="83" spans="2:25" ht="17">
      <c r="B83" s="78">
        <v>14</v>
      </c>
      <c r="C83" s="94" t="s">
        <v>131</v>
      </c>
      <c r="D83" s="68" t="s">
        <v>132</v>
      </c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75"/>
    </row>
    <row r="84" spans="2:25">
      <c r="B84" s="78"/>
      <c r="C84" s="65" t="s">
        <v>58</v>
      </c>
      <c r="D84" s="91"/>
      <c r="E84" s="127">
        <v>206321823241</v>
      </c>
      <c r="F84" s="127">
        <v>213141085630</v>
      </c>
      <c r="G84" s="127">
        <v>238680607900</v>
      </c>
      <c r="H84" s="127">
        <v>250724734274</v>
      </c>
      <c r="I84" s="127">
        <v>254329647925</v>
      </c>
      <c r="J84" s="127">
        <v>253976181505</v>
      </c>
      <c r="K84" s="127">
        <v>242804929756</v>
      </c>
      <c r="L84" s="127">
        <v>235891593162</v>
      </c>
      <c r="M84" s="127">
        <v>250016137446</v>
      </c>
      <c r="N84" s="127">
        <v>253917958072</v>
      </c>
      <c r="O84" s="127">
        <v>233379983460</v>
      </c>
      <c r="P84" s="127">
        <v>160631354635</v>
      </c>
      <c r="Q84" s="127">
        <v>182319671706</v>
      </c>
      <c r="R84" s="127">
        <v>182319671706</v>
      </c>
      <c r="S84" s="127">
        <v>209743386551</v>
      </c>
      <c r="T84" s="127">
        <v>184868320603</v>
      </c>
      <c r="U84" s="127">
        <v>209727816065</v>
      </c>
      <c r="V84" s="127">
        <v>213561736229</v>
      </c>
      <c r="W84" s="127">
        <v>189650551690</v>
      </c>
      <c r="X84" s="127">
        <v>197897867066</v>
      </c>
      <c r="Y84" s="75"/>
    </row>
    <row r="85" spans="2:25">
      <c r="B85" s="78"/>
      <c r="C85" s="65" t="s">
        <v>59</v>
      </c>
      <c r="D85" s="91"/>
      <c r="E85" s="127">
        <v>72862755529</v>
      </c>
      <c r="F85" s="127">
        <v>82459403277</v>
      </c>
      <c r="G85" s="127">
        <v>89792208100</v>
      </c>
      <c r="H85" s="127">
        <v>105476752401</v>
      </c>
      <c r="I85" s="127">
        <v>105397220185</v>
      </c>
      <c r="J85" s="127">
        <v>101165757283</v>
      </c>
      <c r="K85" s="127">
        <v>92478704688</v>
      </c>
      <c r="L85" s="127">
        <v>94587795350</v>
      </c>
      <c r="M85" s="127">
        <v>110624791152</v>
      </c>
      <c r="N85" s="127">
        <v>110591576296</v>
      </c>
      <c r="O85" s="127">
        <v>116026966900</v>
      </c>
      <c r="P85" s="127">
        <v>121622353656</v>
      </c>
      <c r="Q85" s="127">
        <v>146048252605</v>
      </c>
      <c r="R85" s="127">
        <v>146048252605</v>
      </c>
      <c r="S85" s="127">
        <v>158441435660</v>
      </c>
      <c r="T85" s="127">
        <v>132445996835</v>
      </c>
      <c r="U85" s="127">
        <v>155067148137</v>
      </c>
      <c r="V85" s="127">
        <v>162047408216</v>
      </c>
      <c r="W85" s="127">
        <v>135277262868</v>
      </c>
      <c r="X85" s="127">
        <v>137927415531</v>
      </c>
      <c r="Y85" s="75"/>
    </row>
    <row r="86" spans="2:25" ht="17">
      <c r="B86" s="78"/>
      <c r="C86" s="94" t="s">
        <v>57</v>
      </c>
      <c r="D86" s="68"/>
      <c r="E86" s="127">
        <v>70553550797</v>
      </c>
      <c r="F86" s="127">
        <v>78214154186</v>
      </c>
      <c r="G86" s="127">
        <v>109395662985</v>
      </c>
      <c r="H86" s="127">
        <v>149288661045</v>
      </c>
      <c r="I86" s="127">
        <v>70949594202</v>
      </c>
      <c r="J86" s="127">
        <v>65322195541</v>
      </c>
      <c r="K86" s="127">
        <v>63974726990</v>
      </c>
      <c r="L86" s="127">
        <v>130429170286</v>
      </c>
      <c r="M86" s="127">
        <v>52753711987</v>
      </c>
      <c r="N86" s="127">
        <v>63965921132</v>
      </c>
      <c r="O86" s="127">
        <v>79064348132</v>
      </c>
      <c r="P86" s="127">
        <v>91361599955</v>
      </c>
      <c r="Q86" s="127">
        <v>71871746204</v>
      </c>
      <c r="R86" s="127">
        <v>65539309270</v>
      </c>
      <c r="S86" s="127">
        <v>124062179433</v>
      </c>
      <c r="T86" s="127">
        <v>176148289838</v>
      </c>
      <c r="U86" s="127">
        <v>92318888239</v>
      </c>
      <c r="V86" s="127">
        <v>110398941395</v>
      </c>
      <c r="W86" s="127">
        <v>92189926270</v>
      </c>
      <c r="X86" s="127">
        <v>162001882315</v>
      </c>
      <c r="Y86" s="75"/>
    </row>
    <row r="87" spans="2:25">
      <c r="B87" s="78"/>
      <c r="C87" s="65" t="s">
        <v>56</v>
      </c>
      <c r="D87" s="91"/>
      <c r="E87" s="127">
        <v>476934047293</v>
      </c>
      <c r="F87" s="127">
        <v>481151834508</v>
      </c>
      <c r="G87" s="127">
        <v>505103422703</v>
      </c>
      <c r="H87" s="127">
        <v>521493784876</v>
      </c>
      <c r="I87" s="127">
        <v>521616419233</v>
      </c>
      <c r="J87" s="127">
        <v>517640079044</v>
      </c>
      <c r="K87" s="127">
        <v>504628114477</v>
      </c>
      <c r="L87" s="127">
        <v>498020612974</v>
      </c>
      <c r="M87" s="127">
        <v>511314491032</v>
      </c>
      <c r="N87" s="127">
        <v>513366919064</v>
      </c>
      <c r="O87" s="127">
        <v>490656148698</v>
      </c>
      <c r="P87" s="127">
        <v>492697209711</v>
      </c>
      <c r="Q87" s="127">
        <v>509920086466</v>
      </c>
      <c r="R87" s="127">
        <v>509920086466</v>
      </c>
      <c r="S87" s="127">
        <v>529233203286</v>
      </c>
      <c r="T87" s="127">
        <v>492056440058</v>
      </c>
      <c r="U87" s="127">
        <v>513374798887</v>
      </c>
      <c r="V87" s="127">
        <v>514902026971</v>
      </c>
      <c r="W87" s="127">
        <v>489312785824</v>
      </c>
      <c r="X87" s="127">
        <v>445283742713</v>
      </c>
      <c r="Y87" s="75"/>
    </row>
    <row r="88" spans="2:25">
      <c r="B88" s="78"/>
      <c r="C88" s="65" t="s">
        <v>55</v>
      </c>
      <c r="D88" s="91"/>
      <c r="E88" s="127">
        <v>94357353334</v>
      </c>
      <c r="F88" s="127">
        <v>103534855403</v>
      </c>
      <c r="G88" s="127">
        <v>119453102597</v>
      </c>
      <c r="H88" s="127">
        <v>131822380207</v>
      </c>
      <c r="I88" s="127">
        <v>131407930520</v>
      </c>
      <c r="J88" s="127">
        <v>126497058274</v>
      </c>
      <c r="K88" s="127">
        <v>116488467371</v>
      </c>
      <c r="L88" s="127">
        <v>112663245901</v>
      </c>
      <c r="M88" s="127">
        <v>128649513370</v>
      </c>
      <c r="N88" s="127">
        <v>128465491020</v>
      </c>
      <c r="O88" s="127">
        <v>131781550123</v>
      </c>
      <c r="P88" s="127">
        <v>143182746626</v>
      </c>
      <c r="Q88" s="127">
        <v>166172608870</v>
      </c>
      <c r="R88" s="127">
        <v>166172608870</v>
      </c>
      <c r="S88" s="127">
        <v>178760662411</v>
      </c>
      <c r="T88" s="127">
        <v>151998653563</v>
      </c>
      <c r="U88" s="127">
        <v>173943779348</v>
      </c>
      <c r="V88" s="127">
        <v>180094912624</v>
      </c>
      <c r="W88" s="127">
        <v>153445241023</v>
      </c>
      <c r="X88" s="127">
        <v>153217515536</v>
      </c>
      <c r="Y88" s="75"/>
    </row>
    <row r="89" spans="2:25" ht="17">
      <c r="B89" s="78">
        <v>15</v>
      </c>
      <c r="C89" s="94" t="s">
        <v>107</v>
      </c>
      <c r="D89" s="68" t="s">
        <v>135</v>
      </c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75"/>
    </row>
    <row r="90" spans="2:25">
      <c r="B90" s="78"/>
      <c r="C90" s="65" t="s">
        <v>58</v>
      </c>
      <c r="D90" s="91"/>
      <c r="E90" s="127">
        <v>496482600921</v>
      </c>
      <c r="F90" s="127">
        <v>453099569388</v>
      </c>
      <c r="G90" s="127">
        <v>484746192698</v>
      </c>
      <c r="H90" s="127">
        <v>486522278448</v>
      </c>
      <c r="I90" s="127">
        <v>523047644670</v>
      </c>
      <c r="J90" s="127">
        <v>508323802566</v>
      </c>
      <c r="K90" s="127">
        <v>548366869805</v>
      </c>
      <c r="L90" s="127">
        <v>552493858098</v>
      </c>
      <c r="M90" s="127">
        <v>597195170077</v>
      </c>
      <c r="N90" s="127">
        <v>626158376573</v>
      </c>
      <c r="O90" s="127">
        <v>635436348887</v>
      </c>
      <c r="P90" s="127">
        <v>643773422158</v>
      </c>
      <c r="Q90" s="127">
        <v>648023390063</v>
      </c>
      <c r="R90" s="127">
        <v>671910620514</v>
      </c>
      <c r="S90" s="127">
        <v>653853380336</v>
      </c>
      <c r="T90" s="127">
        <v>669455042672</v>
      </c>
      <c r="U90" s="127">
        <v>687458905806</v>
      </c>
      <c r="V90" s="127">
        <v>684364400262</v>
      </c>
      <c r="W90" s="127">
        <v>577849257717</v>
      </c>
      <c r="X90" s="127">
        <v>715050204489</v>
      </c>
      <c r="Y90" s="75"/>
    </row>
    <row r="91" spans="2:25">
      <c r="B91" s="78"/>
      <c r="C91" s="65" t="s">
        <v>59</v>
      </c>
      <c r="D91" s="91"/>
      <c r="E91" s="127">
        <v>91307382321</v>
      </c>
      <c r="F91" s="127">
        <v>64431146287</v>
      </c>
      <c r="G91" s="127">
        <v>69776670252</v>
      </c>
      <c r="H91" s="127">
        <v>70337529585</v>
      </c>
      <c r="I91" s="127">
        <v>72275648695</v>
      </c>
      <c r="J91" s="127">
        <v>43760830891</v>
      </c>
      <c r="K91" s="127">
        <v>76650401011</v>
      </c>
      <c r="L91" s="127">
        <v>68166758308</v>
      </c>
      <c r="M91" s="127">
        <v>76645116948</v>
      </c>
      <c r="N91" s="127">
        <v>78310344398</v>
      </c>
      <c r="O91" s="127">
        <v>88831562447</v>
      </c>
      <c r="P91" s="127">
        <v>82981081779</v>
      </c>
      <c r="Q91" s="127">
        <v>58819625557</v>
      </c>
      <c r="R91" s="127">
        <v>65349467353</v>
      </c>
      <c r="S91" s="127">
        <v>60136518624</v>
      </c>
      <c r="T91" s="127">
        <v>56947975527</v>
      </c>
      <c r="U91" s="127">
        <v>54318432778</v>
      </c>
      <c r="V91" s="127">
        <v>73445423668</v>
      </c>
      <c r="W91" s="127">
        <v>47199111533</v>
      </c>
      <c r="X91" s="127">
        <v>50331125991</v>
      </c>
      <c r="Y91" s="75"/>
    </row>
    <row r="92" spans="2:25" ht="17">
      <c r="B92" s="78"/>
      <c r="C92" s="94" t="s">
        <v>57</v>
      </c>
      <c r="D92" s="68"/>
      <c r="E92" s="127">
        <v>197774030076</v>
      </c>
      <c r="F92" s="127">
        <v>173753411099</v>
      </c>
      <c r="G92" s="127">
        <v>208419719328</v>
      </c>
      <c r="H92" s="127">
        <v>178352204052</v>
      </c>
      <c r="I92" s="127">
        <v>192265295777</v>
      </c>
      <c r="J92" s="127">
        <v>144796331117</v>
      </c>
      <c r="K92" s="127">
        <v>163682841372</v>
      </c>
      <c r="L92" s="127">
        <v>170796410462</v>
      </c>
      <c r="M92" s="127">
        <v>153984500929</v>
      </c>
      <c r="N92" s="127">
        <v>142455794381</v>
      </c>
      <c r="O92" s="127">
        <v>152018224880</v>
      </c>
      <c r="P92" s="127">
        <v>181420814589</v>
      </c>
      <c r="Q92" s="127">
        <v>175226219638</v>
      </c>
      <c r="R92" s="127">
        <v>136487051150</v>
      </c>
      <c r="S92" s="127">
        <v>156556349555</v>
      </c>
      <c r="T92" s="127">
        <v>146207255749</v>
      </c>
      <c r="U92" s="127">
        <v>141001129398</v>
      </c>
      <c r="V92" s="127">
        <v>117449459742</v>
      </c>
      <c r="W92" s="127">
        <v>131789767923</v>
      </c>
      <c r="X92" s="127">
        <v>128118570055</v>
      </c>
      <c r="Y92" s="75"/>
    </row>
    <row r="93" spans="2:25">
      <c r="B93" s="78"/>
      <c r="C93" s="65" t="s">
        <v>56</v>
      </c>
      <c r="D93" s="91"/>
      <c r="E93" s="127">
        <v>886298555754</v>
      </c>
      <c r="F93" s="127">
        <v>848703528676</v>
      </c>
      <c r="G93" s="127">
        <v>882485153683</v>
      </c>
      <c r="H93" s="127">
        <v>968234349565</v>
      </c>
      <c r="I93" s="127">
        <v>1012994916814</v>
      </c>
      <c r="J93" s="127">
        <v>983508727498</v>
      </c>
      <c r="K93" s="127">
        <v>1024721671904</v>
      </c>
      <c r="L93" s="127">
        <v>1081979820386</v>
      </c>
      <c r="M93" s="127">
        <v>1125047993083</v>
      </c>
      <c r="N93" s="127">
        <v>1149500117124</v>
      </c>
      <c r="O93" s="127">
        <v>1152434413074</v>
      </c>
      <c r="P93" s="127">
        <v>1165564745263</v>
      </c>
      <c r="Q93" s="127">
        <v>1172847657676</v>
      </c>
      <c r="R93" s="127">
        <v>1195749290483</v>
      </c>
      <c r="S93" s="127">
        <v>1165642963584</v>
      </c>
      <c r="T93" s="127">
        <v>1221291885832</v>
      </c>
      <c r="U93" s="127">
        <v>1231845983063</v>
      </c>
      <c r="V93" s="127">
        <v>1223192026177</v>
      </c>
      <c r="W93" s="127">
        <v>1222106387616</v>
      </c>
      <c r="X93" s="127">
        <v>1247265694706</v>
      </c>
      <c r="Y93" s="75"/>
    </row>
    <row r="94" spans="2:25">
      <c r="B94" s="78"/>
      <c r="C94" s="65" t="s">
        <v>55</v>
      </c>
      <c r="D94" s="91"/>
      <c r="E94" s="127">
        <v>126878010140</v>
      </c>
      <c r="F94" s="127">
        <v>103625696044</v>
      </c>
      <c r="G94" s="127">
        <v>106843559793</v>
      </c>
      <c r="H94" s="127">
        <v>115690798743</v>
      </c>
      <c r="I94" s="127">
        <v>117022911777</v>
      </c>
      <c r="J94" s="127">
        <v>85794318003</v>
      </c>
      <c r="K94" s="127">
        <v>118354255169</v>
      </c>
      <c r="L94" s="127">
        <v>129617262724</v>
      </c>
      <c r="M94" s="127">
        <v>137843221040</v>
      </c>
      <c r="N94" s="127">
        <v>138053125643</v>
      </c>
      <c r="O94" s="127">
        <v>148618818519</v>
      </c>
      <c r="P94" s="127">
        <v>135165299199</v>
      </c>
      <c r="Q94" s="127">
        <v>110611723901</v>
      </c>
      <c r="R94" s="127">
        <v>116509411027</v>
      </c>
      <c r="S94" s="127">
        <v>109549017285</v>
      </c>
      <c r="T94" s="127">
        <v>108448241205</v>
      </c>
      <c r="U94" s="127">
        <v>103840909793</v>
      </c>
      <c r="V94" s="127">
        <v>122085918566</v>
      </c>
      <c r="W94" s="127">
        <v>95333440289</v>
      </c>
      <c r="X94" s="127">
        <v>99504675598</v>
      </c>
      <c r="Y94" s="75"/>
    </row>
    <row r="95" spans="2:25" ht="17">
      <c r="B95" s="78">
        <v>16</v>
      </c>
      <c r="C95" s="63" t="s">
        <v>138</v>
      </c>
      <c r="D95" s="68" t="s">
        <v>139</v>
      </c>
      <c r="E95" s="127" t="s">
        <v>140</v>
      </c>
      <c r="F95" s="126">
        <v>2019</v>
      </c>
      <c r="G95" s="126"/>
      <c r="H95" s="126"/>
      <c r="I95" s="126"/>
      <c r="J95" s="126">
        <v>2020</v>
      </c>
      <c r="K95" s="126"/>
      <c r="L95" s="126"/>
      <c r="M95" s="126"/>
      <c r="N95" s="126">
        <v>2021</v>
      </c>
      <c r="O95" s="126"/>
      <c r="P95" s="126"/>
      <c r="Q95" s="126"/>
      <c r="R95" s="126">
        <v>2022</v>
      </c>
      <c r="S95" s="126"/>
      <c r="T95" s="126"/>
      <c r="U95" s="126"/>
      <c r="V95" s="126">
        <v>2023</v>
      </c>
      <c r="W95" s="126"/>
      <c r="X95" s="126"/>
      <c r="Y95" s="79"/>
    </row>
    <row r="96" spans="2:25">
      <c r="B96" s="78"/>
      <c r="C96" s="65" t="s">
        <v>58</v>
      </c>
      <c r="D96" s="91"/>
      <c r="E96" s="127">
        <v>142441185180</v>
      </c>
      <c r="F96" s="126">
        <v>137697266158</v>
      </c>
      <c r="G96" s="127">
        <v>187318840286</v>
      </c>
      <c r="H96" s="127">
        <v>266253331928</v>
      </c>
      <c r="I96" s="126">
        <v>306716957106</v>
      </c>
      <c r="J96" s="126">
        <v>210620188984</v>
      </c>
      <c r="K96" s="126">
        <v>159640249156</v>
      </c>
      <c r="L96" s="126">
        <v>160161773102</v>
      </c>
      <c r="M96" s="126">
        <v>129151338478</v>
      </c>
      <c r="N96" s="126">
        <v>101165675365</v>
      </c>
      <c r="O96" s="126">
        <v>99030975939</v>
      </c>
      <c r="P96" s="126">
        <v>95357000685</v>
      </c>
      <c r="Q96" s="126">
        <v>137638370951</v>
      </c>
      <c r="R96" s="126">
        <v>190267073752</v>
      </c>
      <c r="S96" s="126">
        <v>290075374839</v>
      </c>
      <c r="T96" s="126">
        <v>343828016239</v>
      </c>
      <c r="U96" s="126">
        <v>298637575058</v>
      </c>
      <c r="V96" s="126">
        <v>295177106485</v>
      </c>
      <c r="W96" s="126">
        <v>244021873300</v>
      </c>
      <c r="X96" s="126">
        <v>255247878538</v>
      </c>
      <c r="Y96" s="79"/>
    </row>
    <row r="97" spans="2:26">
      <c r="B97" s="78"/>
      <c r="C97" s="65" t="s">
        <v>59</v>
      </c>
      <c r="D97" s="91"/>
      <c r="E97" s="127">
        <v>182305711934</v>
      </c>
      <c r="F97" s="126">
        <v>175960931600</v>
      </c>
      <c r="G97" s="127">
        <v>226946986513</v>
      </c>
      <c r="H97" s="127">
        <v>244283093339</v>
      </c>
      <c r="I97" s="126">
        <v>211982893065</v>
      </c>
      <c r="J97" s="126">
        <v>185401572629</v>
      </c>
      <c r="K97" s="126">
        <v>131011809080</v>
      </c>
      <c r="L97" s="126">
        <v>182944973111</v>
      </c>
      <c r="M97" s="126">
        <v>223507975633</v>
      </c>
      <c r="N97" s="126">
        <v>226626476067</v>
      </c>
      <c r="O97" s="126">
        <v>234435108672</v>
      </c>
      <c r="P97" s="126">
        <v>221333270800</v>
      </c>
      <c r="Q97" s="126">
        <v>234312236192</v>
      </c>
      <c r="R97" s="126">
        <v>257386277403</v>
      </c>
      <c r="S97" s="126">
        <v>280030982670</v>
      </c>
      <c r="T97" s="126">
        <v>249790563886</v>
      </c>
      <c r="U97" s="126">
        <v>349739377160</v>
      </c>
      <c r="V97" s="126">
        <v>254594461069</v>
      </c>
      <c r="W97" s="126">
        <v>389262636540</v>
      </c>
      <c r="X97" s="126">
        <v>440509412999</v>
      </c>
      <c r="Y97" s="79"/>
    </row>
    <row r="98" spans="2:26" ht="17">
      <c r="B98" s="78"/>
      <c r="C98" s="94" t="s">
        <v>57</v>
      </c>
      <c r="D98" s="68"/>
      <c r="E98" s="127">
        <f>272403703821-183223312945</f>
        <v>89180390876</v>
      </c>
      <c r="F98" s="126">
        <v>101783473443</v>
      </c>
      <c r="G98" s="127">
        <v>71121809729</v>
      </c>
      <c r="H98" s="127">
        <v>16559509674</v>
      </c>
      <c r="I98" s="126">
        <v>81754071668</v>
      </c>
      <c r="J98" s="126">
        <v>137326090138</v>
      </c>
      <c r="K98" s="126">
        <v>13614363319</v>
      </c>
      <c r="L98" s="126">
        <v>5049553382</v>
      </c>
      <c r="M98" s="126">
        <v>14396008355</v>
      </c>
      <c r="N98" s="126">
        <v>10765483536</v>
      </c>
      <c r="O98" s="126">
        <v>1096402000</v>
      </c>
      <c r="P98" s="126">
        <v>2860958650</v>
      </c>
      <c r="Q98" s="126">
        <v>28800461940</v>
      </c>
      <c r="R98" s="126">
        <v>55604420049</v>
      </c>
      <c r="S98" s="126">
        <v>136542560944</v>
      </c>
      <c r="T98" s="126">
        <v>210829206442</v>
      </c>
      <c r="U98" s="126">
        <v>53774878347</v>
      </c>
      <c r="V98" s="126">
        <v>43658577000</v>
      </c>
      <c r="W98" s="126">
        <v>78173986799</v>
      </c>
      <c r="X98" s="126">
        <v>20139721048</v>
      </c>
      <c r="Y98" s="79"/>
    </row>
    <row r="99" spans="2:26">
      <c r="B99" s="78"/>
      <c r="C99" s="65" t="s">
        <v>56</v>
      </c>
      <c r="D99" s="91"/>
      <c r="E99" s="127">
        <v>536867715737</v>
      </c>
      <c r="F99" s="126">
        <v>552328250797</v>
      </c>
      <c r="G99" s="127">
        <v>741944725387</v>
      </c>
      <c r="H99" s="127">
        <v>823396043422</v>
      </c>
      <c r="I99" s="126">
        <v>871638982195</v>
      </c>
      <c r="J99" s="126">
        <v>775727259790</v>
      </c>
      <c r="K99" s="126">
        <v>720320117030</v>
      </c>
      <c r="L99" s="126">
        <v>737232440776</v>
      </c>
      <c r="M99" s="126">
        <v>699274548775</v>
      </c>
      <c r="N99" s="126">
        <v>666498903960</v>
      </c>
      <c r="O99" s="126">
        <v>623266947504</v>
      </c>
      <c r="P99" s="126">
        <v>550257862701</v>
      </c>
      <c r="Q99" s="126">
        <v>523526081797</v>
      </c>
      <c r="R99" s="126">
        <v>576465204738</v>
      </c>
      <c r="S99" s="126">
        <v>674116156844</v>
      </c>
      <c r="T99" s="126">
        <v>724711904282</v>
      </c>
      <c r="U99" s="126">
        <v>699108216871</v>
      </c>
      <c r="V99" s="126">
        <v>687441149496</v>
      </c>
      <c r="W99" s="126">
        <v>627670887778</v>
      </c>
      <c r="X99" s="126">
        <v>630571323932</v>
      </c>
      <c r="Y99" s="79"/>
    </row>
    <row r="100" spans="2:26">
      <c r="B100" s="78"/>
      <c r="C100" s="65" t="s">
        <v>55</v>
      </c>
      <c r="D100" s="91"/>
      <c r="E100" s="127">
        <v>345989440969</v>
      </c>
      <c r="F100" s="126">
        <v>348852139059</v>
      </c>
      <c r="G100" s="127">
        <v>539258280746</v>
      </c>
      <c r="H100" s="127">
        <v>630720948958</v>
      </c>
      <c r="I100" s="126">
        <v>678262661673</v>
      </c>
      <c r="J100" s="126">
        <v>603376964217</v>
      </c>
      <c r="K100" s="126">
        <v>544473721989</v>
      </c>
      <c r="L100" s="126">
        <v>595440006339</v>
      </c>
      <c r="M100" s="126">
        <v>611899459706</v>
      </c>
      <c r="N100" s="126">
        <v>614207662618</v>
      </c>
      <c r="O100" s="126">
        <v>594650844030</v>
      </c>
      <c r="P100" s="126">
        <v>572051679032</v>
      </c>
      <c r="Q100" s="126">
        <v>601540344656</v>
      </c>
      <c r="R100" s="126">
        <v>650979146482</v>
      </c>
      <c r="S100" s="126">
        <v>732141461212</v>
      </c>
      <c r="T100" s="126">
        <v>708929213541</v>
      </c>
      <c r="U100" s="126">
        <v>738491466471</v>
      </c>
      <c r="V100" s="126">
        <v>763461086029</v>
      </c>
      <c r="W100" s="126">
        <v>741148056659</v>
      </c>
      <c r="X100" s="126">
        <v>797310339634</v>
      </c>
      <c r="Y100" s="79"/>
    </row>
    <row r="101" spans="2:26" ht="17">
      <c r="B101" s="78">
        <v>17</v>
      </c>
      <c r="C101" s="94" t="s">
        <v>143</v>
      </c>
      <c r="D101" s="68" t="s">
        <v>142</v>
      </c>
      <c r="E101" s="127" t="s">
        <v>141</v>
      </c>
      <c r="F101" s="126"/>
      <c r="G101" s="126">
        <v>2019</v>
      </c>
      <c r="H101" s="126"/>
      <c r="I101" s="127"/>
      <c r="J101" s="126"/>
      <c r="K101" s="126">
        <v>2020</v>
      </c>
      <c r="L101" s="126"/>
      <c r="M101" s="127"/>
      <c r="N101" s="126"/>
      <c r="O101" s="126">
        <v>2021</v>
      </c>
      <c r="P101" s="126"/>
      <c r="Q101" s="127"/>
      <c r="R101" s="126"/>
      <c r="S101" s="126">
        <v>2022</v>
      </c>
      <c r="T101" s="126"/>
      <c r="U101" s="126"/>
      <c r="V101" s="126"/>
      <c r="W101" s="126">
        <v>2023</v>
      </c>
      <c r="X101" s="126"/>
      <c r="Y101" s="79"/>
      <c r="Z101" s="60"/>
    </row>
    <row r="102" spans="2:26">
      <c r="B102" s="78"/>
      <c r="C102" s="65" t="s">
        <v>58</v>
      </c>
      <c r="D102" s="91"/>
      <c r="E102" s="126">
        <v>25517426884</v>
      </c>
      <c r="F102" s="126">
        <v>18460713565</v>
      </c>
      <c r="G102" s="126">
        <v>39498652012</v>
      </c>
      <c r="H102" s="126">
        <v>41790799993</v>
      </c>
      <c r="I102" s="126">
        <v>72291215343</v>
      </c>
      <c r="J102" s="126">
        <v>55624357918</v>
      </c>
      <c r="K102" s="126">
        <v>39498652013</v>
      </c>
      <c r="L102" s="126">
        <v>41790799994</v>
      </c>
      <c r="M102" s="126">
        <v>46373554853</v>
      </c>
      <c r="N102" s="126">
        <v>28489487729</v>
      </c>
      <c r="O102" s="126">
        <v>28913505256</v>
      </c>
      <c r="P102" s="126">
        <v>28170289747</v>
      </c>
      <c r="Q102" s="126">
        <v>26283624950</v>
      </c>
      <c r="R102" s="126">
        <v>71988388309</v>
      </c>
      <c r="S102" s="126">
        <v>80995061005</v>
      </c>
      <c r="T102" s="126">
        <v>61845857265</v>
      </c>
      <c r="U102" s="126">
        <v>62899334867</v>
      </c>
      <c r="V102" s="126">
        <v>62758042507</v>
      </c>
      <c r="W102" s="126">
        <v>62873599151</v>
      </c>
      <c r="X102" s="126">
        <v>63037032821</v>
      </c>
      <c r="Y102" s="79"/>
    </row>
    <row r="103" spans="2:26">
      <c r="B103" s="78"/>
      <c r="C103" s="65" t="s">
        <v>59</v>
      </c>
      <c r="D103" s="91"/>
      <c r="E103" s="126">
        <v>334593856520</v>
      </c>
      <c r="F103" s="126">
        <v>864335838686</v>
      </c>
      <c r="G103" s="126">
        <v>1025555084446</v>
      </c>
      <c r="H103" s="126">
        <v>984403641322</v>
      </c>
      <c r="I103" s="126">
        <v>982841036277</v>
      </c>
      <c r="J103" s="126">
        <v>967643373509</v>
      </c>
      <c r="K103" s="126">
        <v>1025555084447</v>
      </c>
      <c r="L103" s="126">
        <v>984403641323</v>
      </c>
      <c r="M103" s="126">
        <v>1008478341515</v>
      </c>
      <c r="N103" s="126">
        <v>289613552551</v>
      </c>
      <c r="O103" s="126">
        <v>294424396929</v>
      </c>
      <c r="P103" s="126">
        <v>302632911519</v>
      </c>
      <c r="Q103" s="126">
        <v>308270682356</v>
      </c>
      <c r="R103" s="126">
        <v>360301823759</v>
      </c>
      <c r="S103" s="126">
        <v>391252616562</v>
      </c>
      <c r="T103" s="126">
        <v>398007885959</v>
      </c>
      <c r="U103" s="126">
        <v>439383619754</v>
      </c>
      <c r="V103" s="126">
        <v>451219917309</v>
      </c>
      <c r="W103" s="126">
        <v>467540225823</v>
      </c>
      <c r="X103" s="126">
        <v>467944950306</v>
      </c>
      <c r="Y103" s="79"/>
    </row>
    <row r="104" spans="2:26" ht="17">
      <c r="B104" s="78"/>
      <c r="C104" s="94" t="s">
        <v>57</v>
      </c>
      <c r="D104" s="68"/>
      <c r="E104" s="126">
        <v>7190437025.333333</v>
      </c>
      <c r="F104" s="126">
        <v>2339394590</v>
      </c>
      <c r="G104" s="126">
        <v>29863418315</v>
      </c>
      <c r="H104" s="126">
        <v>42449153241</v>
      </c>
      <c r="I104" s="126">
        <v>113998669263</v>
      </c>
      <c r="J104" s="126">
        <v>37755604249</v>
      </c>
      <c r="K104" s="126">
        <v>412308490</v>
      </c>
      <c r="L104" s="126">
        <v>34581784</v>
      </c>
      <c r="M104" s="126">
        <v>298398435</v>
      </c>
      <c r="N104" s="126">
        <v>-277897365</v>
      </c>
      <c r="O104" s="126">
        <v>328550909</v>
      </c>
      <c r="P104" s="126">
        <v>12125000</v>
      </c>
      <c r="Q104" s="126">
        <v>181118720</v>
      </c>
      <c r="R104" s="126">
        <v>3193800000</v>
      </c>
      <c r="S104" s="126">
        <v>20637800000</v>
      </c>
      <c r="T104" s="126">
        <v>11492560000</v>
      </c>
      <c r="U104" s="126">
        <v>16147420000</v>
      </c>
      <c r="V104" s="126">
        <v>29045917</v>
      </c>
      <c r="W104" s="126">
        <v>0</v>
      </c>
      <c r="X104" s="126">
        <v>0</v>
      </c>
      <c r="Y104" s="79"/>
    </row>
    <row r="105" spans="2:26">
      <c r="B105" s="78"/>
      <c r="C105" s="65" t="s">
        <v>56</v>
      </c>
      <c r="D105" s="91"/>
      <c r="E105" s="126">
        <v>1069816388174</v>
      </c>
      <c r="F105" s="126">
        <v>1090658578996</v>
      </c>
      <c r="G105" s="126">
        <v>1096880945961</v>
      </c>
      <c r="H105" s="126">
        <v>1092881736471</v>
      </c>
      <c r="I105" s="126">
        <v>1127684375028</v>
      </c>
      <c r="J105" s="126">
        <v>1123468024853</v>
      </c>
      <c r="K105" s="126">
        <v>1096880945962</v>
      </c>
      <c r="L105" s="126">
        <v>1092881736472</v>
      </c>
      <c r="M105" s="126">
        <v>1091179327838</v>
      </c>
      <c r="N105" s="126">
        <v>1055671083056</v>
      </c>
      <c r="O105" s="126">
        <v>1052303978585</v>
      </c>
      <c r="P105" s="126">
        <v>1046566175374</v>
      </c>
      <c r="Q105" s="126">
        <v>1025816524933</v>
      </c>
      <c r="R105" s="126">
        <v>1053555048668</v>
      </c>
      <c r="S105" s="126">
        <v>1056448679845</v>
      </c>
      <c r="T105" s="126">
        <v>1030751993689</v>
      </c>
      <c r="U105" s="126">
        <v>899699528242</v>
      </c>
      <c r="V105" s="126">
        <v>895204452940</v>
      </c>
      <c r="W105" s="126">
        <v>891096468350</v>
      </c>
      <c r="X105" s="126">
        <v>887037626788</v>
      </c>
      <c r="Y105" s="79"/>
    </row>
    <row r="106" spans="2:26">
      <c r="B106" s="78"/>
      <c r="C106" s="65" t="s">
        <v>55</v>
      </c>
      <c r="D106" s="91"/>
      <c r="E106" s="126">
        <v>1314989905980</v>
      </c>
      <c r="F106" s="126">
        <v>1349487510141</v>
      </c>
      <c r="G106" s="126">
        <v>1544858097192</v>
      </c>
      <c r="H106" s="126">
        <v>1495948399333</v>
      </c>
      <c r="I106" s="126">
        <v>1466514663029</v>
      </c>
      <c r="J106" s="126">
        <v>1469796558565</v>
      </c>
      <c r="K106" s="126">
        <v>1544858097193</v>
      </c>
      <c r="L106" s="126">
        <v>1495948399334</v>
      </c>
      <c r="M106" s="126">
        <v>1524091962900</v>
      </c>
      <c r="N106" s="126">
        <v>1323840658770</v>
      </c>
      <c r="O106" s="126">
        <v>1333675890301</v>
      </c>
      <c r="P106" s="126">
        <v>1342815993791</v>
      </c>
      <c r="Q106" s="126">
        <v>1349006190466</v>
      </c>
      <c r="R106" s="126">
        <v>1168371468945</v>
      </c>
      <c r="S106" s="126">
        <v>1199322261748</v>
      </c>
      <c r="T106" s="126">
        <v>1206077531145</v>
      </c>
      <c r="U106" s="126">
        <v>1253802259653</v>
      </c>
      <c r="V106" s="126">
        <v>1293268807314</v>
      </c>
      <c r="W106" s="126">
        <v>1296750443836</v>
      </c>
      <c r="X106" s="126">
        <v>1299665531871</v>
      </c>
      <c r="Y106" s="79"/>
    </row>
    <row r="107" spans="2:26" ht="17">
      <c r="B107" s="78">
        <v>18</v>
      </c>
      <c r="C107" s="94" t="s">
        <v>144</v>
      </c>
      <c r="D107" s="68" t="s">
        <v>222</v>
      </c>
      <c r="E107" s="126">
        <v>2015</v>
      </c>
      <c r="F107" s="126"/>
      <c r="G107" s="126"/>
      <c r="H107" s="126"/>
      <c r="I107" s="126">
        <v>2016</v>
      </c>
      <c r="J107" s="126"/>
      <c r="K107" s="126"/>
      <c r="L107" s="126"/>
      <c r="M107" s="126">
        <v>2017</v>
      </c>
      <c r="N107" s="126"/>
      <c r="O107" s="126"/>
      <c r="P107" s="126"/>
      <c r="Q107" s="126">
        <v>2018</v>
      </c>
      <c r="R107" s="126"/>
      <c r="S107" s="126"/>
      <c r="T107" s="126"/>
      <c r="U107" s="126">
        <v>2019</v>
      </c>
      <c r="V107" s="126"/>
      <c r="W107" s="126"/>
      <c r="X107" s="126"/>
      <c r="Y107" s="79"/>
    </row>
    <row r="108" spans="2:26">
      <c r="B108" s="78"/>
      <c r="C108" s="65" t="s">
        <v>58</v>
      </c>
      <c r="D108" s="91"/>
      <c r="E108" s="126">
        <v>280678579105</v>
      </c>
      <c r="F108" s="126">
        <v>468256972666</v>
      </c>
      <c r="G108" s="126">
        <v>5197310742795</v>
      </c>
      <c r="H108" s="126">
        <v>583413951262</v>
      </c>
      <c r="I108" s="126">
        <v>587707361737</v>
      </c>
      <c r="J108" s="126">
        <v>707470884552</v>
      </c>
      <c r="K108" s="126">
        <v>715073115702</v>
      </c>
      <c r="L108" s="126">
        <v>590606427695</v>
      </c>
      <c r="M108" s="126">
        <v>607040463234</v>
      </c>
      <c r="N108" s="126">
        <v>623788010754</v>
      </c>
      <c r="O108" s="126">
        <v>639598051481</v>
      </c>
      <c r="P108" s="126">
        <v>742059936186</v>
      </c>
      <c r="Q108" s="126">
        <v>692921906645</v>
      </c>
      <c r="R108" s="126">
        <v>702722961583</v>
      </c>
      <c r="S108" s="126">
        <v>779136767564</v>
      </c>
      <c r="T108" s="127">
        <v>814338811685</v>
      </c>
      <c r="U108" s="127">
        <v>803203000000</v>
      </c>
      <c r="V108" s="126">
        <v>757035167589</v>
      </c>
      <c r="W108" s="126">
        <v>767743348151</v>
      </c>
      <c r="X108" s="127">
        <v>304368144117</v>
      </c>
      <c r="Y108" s="75"/>
    </row>
    <row r="109" spans="2:26">
      <c r="B109" s="78"/>
      <c r="C109" s="65" t="s">
        <v>59</v>
      </c>
      <c r="D109" s="91"/>
      <c r="E109" s="126">
        <v>403600201788</v>
      </c>
      <c r="F109" s="126">
        <v>511455714374</v>
      </c>
      <c r="G109" s="126">
        <v>5103447309175</v>
      </c>
      <c r="H109" s="126">
        <v>575730150412</v>
      </c>
      <c r="I109" s="126">
        <v>444725931785</v>
      </c>
      <c r="J109" s="126">
        <v>434316236134</v>
      </c>
      <c r="K109" s="126">
        <v>575496770774</v>
      </c>
      <c r="L109" s="126">
        <v>373448368017</v>
      </c>
      <c r="M109" s="126">
        <v>424065460679</v>
      </c>
      <c r="N109" s="126">
        <v>458842789294</v>
      </c>
      <c r="O109" s="126">
        <v>513769764909</v>
      </c>
      <c r="P109" s="126">
        <v>864080034360</v>
      </c>
      <c r="Q109" s="126">
        <v>801543991299</v>
      </c>
      <c r="R109" s="126">
        <v>806656933580</v>
      </c>
      <c r="S109" s="126">
        <v>913815913160</v>
      </c>
      <c r="T109" s="127">
        <v>1103403629709</v>
      </c>
      <c r="U109" s="127">
        <v>1072799000000</v>
      </c>
      <c r="V109" s="126">
        <v>550315867959</v>
      </c>
      <c r="W109" s="126">
        <v>549035775720</v>
      </c>
      <c r="X109" s="127">
        <v>2194110765080</v>
      </c>
      <c r="Y109" s="75"/>
    </row>
    <row r="110" spans="2:26" ht="17">
      <c r="B110" s="78"/>
      <c r="C110" s="94" t="s">
        <v>57</v>
      </c>
      <c r="D110" s="68"/>
      <c r="E110" s="126">
        <v>175358399613</v>
      </c>
      <c r="F110" s="126">
        <v>115443565284</v>
      </c>
      <c r="G110" s="126">
        <v>113832045041</v>
      </c>
      <c r="H110" s="126">
        <v>178695679489</v>
      </c>
      <c r="I110" s="126">
        <v>135196669939</v>
      </c>
      <c r="J110" s="126">
        <v>135198135959</v>
      </c>
      <c r="K110" s="126">
        <v>100233420175</v>
      </c>
      <c r="L110" s="126">
        <v>199443829632</v>
      </c>
      <c r="M110" s="126">
        <v>128802549308</v>
      </c>
      <c r="N110" s="126">
        <v>148549500255</v>
      </c>
      <c r="O110" s="126">
        <v>129812481841</v>
      </c>
      <c r="P110" s="127">
        <v>76432000000</v>
      </c>
      <c r="Q110" s="126">
        <v>125889073497</v>
      </c>
      <c r="R110" s="126">
        <v>141768332223</v>
      </c>
      <c r="S110" s="126">
        <v>74079668145</v>
      </c>
      <c r="T110" s="127">
        <v>76431839298</v>
      </c>
      <c r="U110" s="127">
        <v>87940000000</v>
      </c>
      <c r="V110" s="126">
        <v>73199045250</v>
      </c>
      <c r="W110" s="126">
        <v>75797307757</v>
      </c>
      <c r="X110" s="127">
        <v>224146518372</v>
      </c>
      <c r="Y110" s="75"/>
    </row>
    <row r="111" spans="2:26">
      <c r="B111" s="78"/>
      <c r="C111" s="65" t="s">
        <v>56</v>
      </c>
      <c r="D111" s="91"/>
      <c r="E111" s="126">
        <v>3585894057928</v>
      </c>
      <c r="F111" s="138">
        <v>3663895280700</v>
      </c>
      <c r="G111" s="138">
        <v>3769178252600</v>
      </c>
      <c r="H111" s="126">
        <v>3540585749217</v>
      </c>
      <c r="I111" s="126">
        <v>3493547033627</v>
      </c>
      <c r="J111" s="126">
        <v>3638952891107</v>
      </c>
      <c r="K111" s="126">
        <v>3640882833534</v>
      </c>
      <c r="L111" s="126">
        <v>3493055380115</v>
      </c>
      <c r="M111" s="126">
        <v>3506984896344</v>
      </c>
      <c r="N111" s="126">
        <v>3525358860626</v>
      </c>
      <c r="O111" s="126">
        <v>3550441410050</v>
      </c>
      <c r="P111" s="126">
        <v>3578766164667</v>
      </c>
      <c r="Q111" s="126">
        <v>3507893641844</v>
      </c>
      <c r="R111" s="126">
        <v>3490948672446</v>
      </c>
      <c r="S111" s="126">
        <v>3572966237438</v>
      </c>
      <c r="T111" s="127">
        <v>3733012257460</v>
      </c>
      <c r="U111" s="127">
        <v>3713876000000</v>
      </c>
      <c r="V111" s="126">
        <v>3671918246834</v>
      </c>
      <c r="W111" s="126">
        <v>3660964183069</v>
      </c>
      <c r="X111" s="127">
        <v>2550516100811</v>
      </c>
      <c r="Y111" s="75"/>
    </row>
    <row r="112" spans="2:26">
      <c r="B112" s="78"/>
      <c r="C112" s="65" t="s">
        <v>55</v>
      </c>
      <c r="D112" s="91"/>
      <c r="E112" s="126">
        <v>2301256951925</v>
      </c>
      <c r="F112" s="138">
        <v>2435703298900</v>
      </c>
      <c r="G112" s="126">
        <v>2680885737100</v>
      </c>
      <c r="H112" s="126">
        <v>2366446562423</v>
      </c>
      <c r="I112" s="126">
        <v>2277243700302</v>
      </c>
      <c r="J112" s="126">
        <v>2413319895369</v>
      </c>
      <c r="K112" s="126">
        <v>2382756601714</v>
      </c>
      <c r="L112" s="126">
        <v>2292924704109</v>
      </c>
      <c r="M112" s="126">
        <v>2305279307579</v>
      </c>
      <c r="N112" s="126">
        <v>2323723100389</v>
      </c>
      <c r="O112" s="126">
        <v>2374163042421</v>
      </c>
      <c r="P112" s="126">
        <v>2450909735506</v>
      </c>
      <c r="Q112" s="126">
        <v>2415983152199</v>
      </c>
      <c r="R112" s="126">
        <v>2473159860809</v>
      </c>
      <c r="S112" s="126">
        <v>2650363643674</v>
      </c>
      <c r="T112" s="127">
        <v>2814731509951</v>
      </c>
      <c r="U112" s="127">
        <v>2805004000000</v>
      </c>
      <c r="V112" s="126">
        <v>2763350015881</v>
      </c>
      <c r="W112" s="126">
        <v>2768585876759</v>
      </c>
      <c r="X112" s="127">
        <v>2569795481920</v>
      </c>
      <c r="Y112" s="75"/>
    </row>
    <row r="113" spans="2:25" ht="17">
      <c r="B113" s="78">
        <v>19</v>
      </c>
      <c r="C113" s="94" t="s">
        <v>146</v>
      </c>
      <c r="D113" s="68" t="s">
        <v>145</v>
      </c>
      <c r="E113" s="127">
        <v>2018</v>
      </c>
      <c r="F113" s="127"/>
      <c r="G113" s="127"/>
      <c r="H113" s="127"/>
      <c r="I113" s="127">
        <v>2019</v>
      </c>
      <c r="J113" s="127"/>
      <c r="K113" s="127"/>
      <c r="L113" s="127"/>
      <c r="M113" s="127">
        <v>2020</v>
      </c>
      <c r="N113" s="127"/>
      <c r="O113" s="127"/>
      <c r="P113" s="127"/>
      <c r="Q113" s="127">
        <v>2021</v>
      </c>
      <c r="R113" s="127"/>
      <c r="S113" s="127"/>
      <c r="T113" s="127"/>
      <c r="U113" s="127">
        <v>2022</v>
      </c>
      <c r="V113" s="127"/>
      <c r="W113" s="127"/>
      <c r="X113" s="127"/>
      <c r="Y113" s="75"/>
    </row>
    <row r="114" spans="2:25">
      <c r="B114" s="78"/>
      <c r="C114" s="65" t="s">
        <v>58</v>
      </c>
      <c r="D114" s="91"/>
      <c r="E114" s="127">
        <v>1092216775330</v>
      </c>
      <c r="F114" s="127">
        <v>1092216775330</v>
      </c>
      <c r="G114" s="127">
        <v>1092216775330</v>
      </c>
      <c r="H114" s="127">
        <v>1092216775330</v>
      </c>
      <c r="I114" s="126">
        <v>1123043963886</v>
      </c>
      <c r="J114" s="126">
        <v>1146935251321</v>
      </c>
      <c r="K114" s="126">
        <v>1249650542303</v>
      </c>
      <c r="L114" s="126">
        <v>1370511554169</v>
      </c>
      <c r="M114" s="126">
        <v>1382720649910</v>
      </c>
      <c r="N114" s="126">
        <v>1249553846504</v>
      </c>
      <c r="O114" s="126">
        <v>1224346929855</v>
      </c>
      <c r="P114" s="126">
        <v>594617548109</v>
      </c>
      <c r="Q114" s="126">
        <v>583382523571</v>
      </c>
      <c r="R114" s="126">
        <v>574071390458</v>
      </c>
      <c r="S114" s="126">
        <v>585943444225</v>
      </c>
      <c r="T114" s="126">
        <v>377302397528</v>
      </c>
      <c r="U114" s="126">
        <v>353966033975</v>
      </c>
      <c r="V114" s="126">
        <v>348813318319</v>
      </c>
      <c r="W114" s="126">
        <v>338798167630</v>
      </c>
      <c r="X114" s="126">
        <v>133392871490</v>
      </c>
      <c r="Y114" s="2"/>
    </row>
    <row r="115" spans="2:25">
      <c r="B115" s="78"/>
      <c r="C115" s="65" t="s">
        <v>59</v>
      </c>
      <c r="D115" s="91"/>
      <c r="E115" s="127">
        <v>533438496043</v>
      </c>
      <c r="F115" s="127">
        <v>533438496043</v>
      </c>
      <c r="G115" s="127">
        <v>533438496043</v>
      </c>
      <c r="H115" s="127">
        <v>533438496043</v>
      </c>
      <c r="I115" s="126">
        <v>558797509323</v>
      </c>
      <c r="J115" s="126">
        <v>542470343905</v>
      </c>
      <c r="K115" s="126">
        <v>651635534133</v>
      </c>
      <c r="L115" s="127">
        <v>779145720624</v>
      </c>
      <c r="M115" s="126">
        <v>788899187687</v>
      </c>
      <c r="N115" s="126">
        <v>699077528789</v>
      </c>
      <c r="O115" s="126">
        <v>697170765633</v>
      </c>
      <c r="P115" s="126">
        <v>422167708885</v>
      </c>
      <c r="Q115" s="126">
        <v>417774626112</v>
      </c>
      <c r="R115" s="126">
        <v>413933063657</v>
      </c>
      <c r="S115" s="126">
        <v>301201453065</v>
      </c>
      <c r="T115" s="126">
        <v>270031395397</v>
      </c>
      <c r="U115" s="126">
        <v>283943264161</v>
      </c>
      <c r="V115" s="126">
        <v>301535661123</v>
      </c>
      <c r="W115" s="126">
        <v>295184408776</v>
      </c>
      <c r="X115" s="126">
        <v>291936129718</v>
      </c>
      <c r="Y115" s="2"/>
    </row>
    <row r="116" spans="2:25" ht="17">
      <c r="B116" s="78"/>
      <c r="C116" s="94" t="s">
        <v>57</v>
      </c>
      <c r="D116" s="68"/>
      <c r="E116" s="126">
        <v>230367393266</v>
      </c>
      <c r="F116" s="126">
        <v>382383148460</v>
      </c>
      <c r="G116" s="126">
        <v>607693462396</v>
      </c>
      <c r="H116" s="127">
        <v>864983016390</v>
      </c>
      <c r="I116" s="126">
        <v>356599846865</v>
      </c>
      <c r="J116" s="126">
        <v>565495312283</v>
      </c>
      <c r="K116" s="126">
        <v>968888039494</v>
      </c>
      <c r="L116" s="127">
        <v>1271856134204</v>
      </c>
      <c r="M116" s="126">
        <v>315574696608</v>
      </c>
      <c r="N116" s="126">
        <v>461415905833</v>
      </c>
      <c r="O116" s="126">
        <v>663534776227</v>
      </c>
      <c r="P116" s="126">
        <v>559954787358</v>
      </c>
      <c r="Q116" s="126">
        <v>130307289648</v>
      </c>
      <c r="R116" s="126">
        <v>236777206549</v>
      </c>
      <c r="S116" s="126">
        <v>323159944496</v>
      </c>
      <c r="T116" s="126">
        <v>189451456077</v>
      </c>
      <c r="U116" s="126">
        <v>120493614098</v>
      </c>
      <c r="V116" s="126">
        <v>173920575405</v>
      </c>
      <c r="W116" s="126">
        <v>227639601426</v>
      </c>
      <c r="X116" s="126">
        <v>389704532869</v>
      </c>
      <c r="Y116" s="2"/>
    </row>
    <row r="117" spans="2:25">
      <c r="B117" s="78"/>
      <c r="C117" s="65" t="s">
        <v>56</v>
      </c>
      <c r="D117" s="91"/>
      <c r="E117" s="127">
        <v>1533320078372</v>
      </c>
      <c r="F117" s="127">
        <v>1533320078372</v>
      </c>
      <c r="G117" s="127">
        <v>1533320078372</v>
      </c>
      <c r="H117" s="127">
        <v>1533320078372</v>
      </c>
      <c r="I117" s="126">
        <v>1593157948716</v>
      </c>
      <c r="J117" s="126">
        <v>1611654395075</v>
      </c>
      <c r="K117" s="126">
        <v>1725896753935</v>
      </c>
      <c r="L117" s="127">
        <v>1867673930520</v>
      </c>
      <c r="M117" s="126">
        <v>1884554238511</v>
      </c>
      <c r="N117" s="126">
        <v>1750692470726</v>
      </c>
      <c r="O117" s="126">
        <v>1702301983322</v>
      </c>
      <c r="P117" s="126">
        <v>929338313746</v>
      </c>
      <c r="Q117" s="126">
        <v>915118471030</v>
      </c>
      <c r="R117" s="126">
        <v>904132519994</v>
      </c>
      <c r="S117" s="126">
        <v>911266379496</v>
      </c>
      <c r="T117" s="126">
        <v>720640872226</v>
      </c>
      <c r="U117" s="126">
        <v>699114203288</v>
      </c>
      <c r="V117" s="126">
        <v>676402893932</v>
      </c>
      <c r="W117" s="126">
        <v>657746487393</v>
      </c>
      <c r="X117" s="126">
        <v>480232027148</v>
      </c>
      <c r="Y117" s="2"/>
    </row>
    <row r="118" spans="2:25">
      <c r="B118" s="78"/>
      <c r="C118" s="65" t="s">
        <v>55</v>
      </c>
      <c r="D118" s="91"/>
      <c r="E118" s="127">
        <v>662877470799</v>
      </c>
      <c r="F118" s="127">
        <v>662877470799</v>
      </c>
      <c r="G118" s="127">
        <v>662877470799</v>
      </c>
      <c r="H118" s="127">
        <v>662877470799</v>
      </c>
      <c r="I118" s="126">
        <v>684164802434</v>
      </c>
      <c r="J118" s="126">
        <v>686731799768</v>
      </c>
      <c r="K118" s="126">
        <v>766823988100</v>
      </c>
      <c r="L118" s="127">
        <v>895305652040</v>
      </c>
      <c r="M118" s="126">
        <v>1155588181310</v>
      </c>
      <c r="N118" s="126">
        <v>802925665928</v>
      </c>
      <c r="O118" s="126">
        <v>799412352318</v>
      </c>
      <c r="P118" s="126">
        <v>464910083092</v>
      </c>
      <c r="Q118" s="126">
        <v>453787259062</v>
      </c>
      <c r="R118" s="126">
        <v>449181295797</v>
      </c>
      <c r="S118" s="126">
        <v>459839459460</v>
      </c>
      <c r="T118" s="126">
        <v>457714941712</v>
      </c>
      <c r="U118" s="126">
        <v>484937579925</v>
      </c>
      <c r="V118" s="126">
        <v>493201600237</v>
      </c>
      <c r="W118" s="126">
        <v>496590565919</v>
      </c>
      <c r="X118" s="126">
        <v>491407904227</v>
      </c>
      <c r="Y118" s="2"/>
    </row>
    <row r="119" spans="2:25" ht="17">
      <c r="B119" s="78">
        <v>20</v>
      </c>
      <c r="C119" s="94" t="s">
        <v>147</v>
      </c>
      <c r="D119" s="68" t="s">
        <v>148</v>
      </c>
      <c r="E119" s="127" t="s">
        <v>149</v>
      </c>
      <c r="F119" s="127">
        <v>2015</v>
      </c>
      <c r="G119" s="127"/>
      <c r="H119" s="127"/>
      <c r="I119" s="127"/>
      <c r="J119" s="127">
        <v>2016</v>
      </c>
      <c r="K119" s="127"/>
      <c r="L119" s="127"/>
      <c r="M119" s="127"/>
      <c r="N119" s="127">
        <v>2017</v>
      </c>
      <c r="O119" s="127"/>
      <c r="P119" s="127"/>
      <c r="Q119" s="127"/>
      <c r="R119" s="127">
        <v>2018</v>
      </c>
      <c r="S119" s="127"/>
      <c r="T119" s="127"/>
      <c r="U119" s="127"/>
      <c r="V119" s="127">
        <v>2019</v>
      </c>
      <c r="W119" s="127"/>
      <c r="X119" s="127"/>
      <c r="Y119" s="75"/>
    </row>
    <row r="120" spans="2:25" ht="18">
      <c r="B120" s="78"/>
      <c r="C120" s="65" t="s">
        <v>58</v>
      </c>
      <c r="D120" s="91"/>
      <c r="E120" s="127">
        <v>185329872261</v>
      </c>
      <c r="F120" s="127">
        <v>194038340554</v>
      </c>
      <c r="G120" s="127">
        <v>199190997568</v>
      </c>
      <c r="H120" s="127">
        <v>209362026811</v>
      </c>
      <c r="I120" s="127">
        <v>200806881030</v>
      </c>
      <c r="J120" s="127">
        <v>204415711204</v>
      </c>
      <c r="K120" s="127">
        <v>213972638159</v>
      </c>
      <c r="L120" s="127">
        <v>200956677753</v>
      </c>
      <c r="M120" s="127">
        <v>251537957514</v>
      </c>
      <c r="N120" s="127">
        <v>247601536393</v>
      </c>
      <c r="O120" s="127">
        <v>251425965238</v>
      </c>
      <c r="P120" s="127">
        <v>251425965238</v>
      </c>
      <c r="Q120" s="127">
        <v>329015167382</v>
      </c>
      <c r="R120" s="127">
        <v>436596444570</v>
      </c>
      <c r="S120" s="127">
        <v>436596444570</v>
      </c>
      <c r="T120" s="126">
        <v>464063631300</v>
      </c>
      <c r="U120" s="126">
        <v>436596444571</v>
      </c>
      <c r="V120" s="126">
        <v>433471719153</v>
      </c>
      <c r="W120" s="126">
        <v>426302569783</v>
      </c>
      <c r="X120" s="126">
        <v>428908215765</v>
      </c>
      <c r="Y120" s="30"/>
    </row>
    <row r="121" spans="2:25" ht="18">
      <c r="B121" s="78"/>
      <c r="C121" s="65" t="s">
        <v>59</v>
      </c>
      <c r="D121" s="91"/>
      <c r="E121" s="138">
        <v>261027989100</v>
      </c>
      <c r="F121" s="138">
        <v>273293437400</v>
      </c>
      <c r="G121" s="138">
        <v>280550700800</v>
      </c>
      <c r="H121" s="126">
        <v>294876094100</v>
      </c>
      <c r="I121" s="138">
        <v>282826593000</v>
      </c>
      <c r="J121" s="138">
        <v>287909452400</v>
      </c>
      <c r="K121" s="138">
        <v>301369912900</v>
      </c>
      <c r="L121" s="138">
        <v>283037574300</v>
      </c>
      <c r="M121" s="138">
        <v>354278813400</v>
      </c>
      <c r="N121" s="138">
        <v>348734558300</v>
      </c>
      <c r="O121" s="138">
        <v>354121077800</v>
      </c>
      <c r="P121" s="138">
        <v>354121077800</v>
      </c>
      <c r="Q121" s="126">
        <v>463401644200</v>
      </c>
      <c r="R121" s="126">
        <v>467578275600</v>
      </c>
      <c r="S121" s="138">
        <v>410050100000</v>
      </c>
      <c r="T121" s="138">
        <v>397650198840</v>
      </c>
      <c r="U121" s="138">
        <v>436338221754</v>
      </c>
      <c r="V121" s="138">
        <v>453122622636</v>
      </c>
      <c r="W121" s="138">
        <v>453312038480</v>
      </c>
      <c r="X121" s="138">
        <v>454778436039</v>
      </c>
      <c r="Y121" s="29"/>
    </row>
    <row r="122" spans="2:25" ht="17">
      <c r="B122" s="78"/>
      <c r="C122" s="94" t="s">
        <v>57</v>
      </c>
      <c r="D122" s="68"/>
      <c r="E122" s="138">
        <v>101499870300</v>
      </c>
      <c r="F122" s="138">
        <v>63640079400</v>
      </c>
      <c r="G122" s="138">
        <v>67511153800</v>
      </c>
      <c r="H122" s="138">
        <v>52110319600</v>
      </c>
      <c r="I122" s="138">
        <v>99944241600</v>
      </c>
      <c r="J122" s="138">
        <v>66910480300</v>
      </c>
      <c r="K122" s="138">
        <v>91015152700</v>
      </c>
      <c r="L122" s="138">
        <v>85032314000</v>
      </c>
      <c r="M122" s="138">
        <v>69589561700</v>
      </c>
      <c r="N122" s="138">
        <v>75056781300</v>
      </c>
      <c r="O122" s="138">
        <v>74841882200</v>
      </c>
      <c r="P122" s="138">
        <v>81357160300</v>
      </c>
      <c r="Q122" s="126">
        <v>32008938500</v>
      </c>
      <c r="R122" s="138">
        <v>50072464600</v>
      </c>
      <c r="S122" s="138">
        <v>64523983900</v>
      </c>
      <c r="T122" s="138">
        <v>74595879460</v>
      </c>
      <c r="U122" s="138">
        <v>70668302990</v>
      </c>
      <c r="V122" s="138">
        <v>51012709840</v>
      </c>
      <c r="W122" s="138">
        <v>74834023460</v>
      </c>
      <c r="X122" s="127">
        <v>53649121140</v>
      </c>
      <c r="Y122" s="75"/>
    </row>
    <row r="123" spans="2:25" ht="18">
      <c r="B123" s="78"/>
      <c r="C123" s="65" t="s">
        <v>56</v>
      </c>
      <c r="D123" s="91"/>
      <c r="E123" s="126">
        <v>479240512200</v>
      </c>
      <c r="F123" s="138">
        <v>494556452500</v>
      </c>
      <c r="G123" s="138">
        <v>504283461500</v>
      </c>
      <c r="H123" s="138">
        <v>518359510300</v>
      </c>
      <c r="I123" s="138">
        <v>533537626100</v>
      </c>
      <c r="J123" s="138">
        <v>543191984400</v>
      </c>
      <c r="K123" s="138">
        <v>549519535900</v>
      </c>
      <c r="L123" s="126">
        <v>533341123800</v>
      </c>
      <c r="M123" s="138">
        <v>598711565500</v>
      </c>
      <c r="N123" s="138">
        <v>596466295700</v>
      </c>
      <c r="O123" s="138">
        <v>583014115100</v>
      </c>
      <c r="P123" s="138">
        <v>587673336000</v>
      </c>
      <c r="Q123" s="126">
        <v>645953214500</v>
      </c>
      <c r="R123" s="138">
        <v>632175378600</v>
      </c>
      <c r="S123" s="138">
        <v>623505460200</v>
      </c>
      <c r="T123" s="126">
        <v>634113308900</v>
      </c>
      <c r="U123" s="138">
        <v>606055631090</v>
      </c>
      <c r="V123" s="138">
        <v>603473219510</v>
      </c>
      <c r="W123" s="138">
        <v>603757101433</v>
      </c>
      <c r="X123" s="138">
        <v>598205298094</v>
      </c>
      <c r="Y123" s="29"/>
    </row>
    <row r="124" spans="2:25" ht="18">
      <c r="B124" s="78"/>
      <c r="C124" s="65" t="s">
        <v>55</v>
      </c>
      <c r="D124" s="91"/>
      <c r="E124" s="138">
        <v>292564822000</v>
      </c>
      <c r="F124" s="138">
        <v>303535746000</v>
      </c>
      <c r="G124" s="138">
        <v>314815748000</v>
      </c>
      <c r="H124" s="126">
        <v>327777034000</v>
      </c>
      <c r="I124" s="138">
        <v>356965177000</v>
      </c>
      <c r="J124" s="138">
        <v>359183929000</v>
      </c>
      <c r="K124" s="138">
        <v>368310283000</v>
      </c>
      <c r="L124" s="138">
        <v>347259397000</v>
      </c>
      <c r="M124" s="138">
        <v>420562586000</v>
      </c>
      <c r="N124" s="138">
        <v>412404224000</v>
      </c>
      <c r="O124" s="138">
        <v>410292702000</v>
      </c>
      <c r="P124" s="126">
        <v>412562529000</v>
      </c>
      <c r="Q124" s="126">
        <v>520550572000</v>
      </c>
      <c r="R124" s="126">
        <v>520903222000</v>
      </c>
      <c r="S124" s="138">
        <v>521198610000</v>
      </c>
      <c r="T124" s="138">
        <v>507667491110</v>
      </c>
      <c r="U124" s="138">
        <v>547363284100</v>
      </c>
      <c r="V124" s="138">
        <v>562045757170</v>
      </c>
      <c r="W124" s="138">
        <v>562226664673</v>
      </c>
      <c r="X124" s="138">
        <v>563693062232</v>
      </c>
      <c r="Y124" s="29"/>
    </row>
    <row r="125" spans="2:25" ht="17">
      <c r="B125" s="78">
        <v>21</v>
      </c>
      <c r="C125" s="94" t="s">
        <v>150</v>
      </c>
      <c r="D125" s="68" t="s">
        <v>151</v>
      </c>
      <c r="E125" s="127" t="s">
        <v>140</v>
      </c>
      <c r="F125" s="127">
        <v>2019</v>
      </c>
      <c r="G125" s="127"/>
      <c r="H125" s="127"/>
      <c r="I125" s="127"/>
      <c r="J125" s="127">
        <v>2020</v>
      </c>
      <c r="K125" s="127"/>
      <c r="L125" s="127"/>
      <c r="M125" s="127"/>
      <c r="N125" s="127">
        <v>2021</v>
      </c>
      <c r="O125" s="127"/>
      <c r="P125" s="127"/>
      <c r="Q125" s="127"/>
      <c r="R125" s="127">
        <v>20.22</v>
      </c>
      <c r="S125" s="127"/>
      <c r="T125" s="127"/>
      <c r="U125" s="127"/>
      <c r="V125" s="127">
        <v>20.23</v>
      </c>
      <c r="W125" s="127"/>
      <c r="X125" s="127"/>
      <c r="Y125" s="75"/>
    </row>
    <row r="126" spans="2:25" ht="18">
      <c r="B126" s="78"/>
      <c r="C126" s="65" t="s">
        <v>58</v>
      </c>
      <c r="D126" s="91"/>
      <c r="E126" s="138">
        <v>639455076771</v>
      </c>
      <c r="F126" s="138">
        <v>628423030498</v>
      </c>
      <c r="G126" s="138">
        <v>705584421446</v>
      </c>
      <c r="H126" s="126">
        <v>722339527800</v>
      </c>
      <c r="I126" s="138">
        <v>545073353346</v>
      </c>
      <c r="J126" s="138">
        <v>615119921831</v>
      </c>
      <c r="K126" s="138">
        <v>555334212713</v>
      </c>
      <c r="L126" s="126">
        <v>468374022126</v>
      </c>
      <c r="M126" s="138">
        <v>478672990906</v>
      </c>
      <c r="N126" s="138">
        <v>483672940348</v>
      </c>
      <c r="O126" s="138">
        <v>497181623099</v>
      </c>
      <c r="P126" s="138">
        <v>455249874000</v>
      </c>
      <c r="Q126" s="126">
        <v>439674241950</v>
      </c>
      <c r="R126" s="138">
        <v>323069754642</v>
      </c>
      <c r="S126" s="138">
        <v>386366141217</v>
      </c>
      <c r="T126" s="138">
        <v>372699266003</v>
      </c>
      <c r="U126" s="138">
        <v>317514442853</v>
      </c>
      <c r="V126" s="138">
        <v>293251938179</v>
      </c>
      <c r="W126" s="138">
        <v>281884805380</v>
      </c>
      <c r="X126" s="126">
        <v>174128665890</v>
      </c>
      <c r="Y126" s="30"/>
    </row>
    <row r="127" spans="2:25" ht="18">
      <c r="B127" s="78"/>
      <c r="C127" s="65" t="s">
        <v>59</v>
      </c>
      <c r="D127" s="91"/>
      <c r="E127" s="126">
        <v>776997095215</v>
      </c>
      <c r="F127" s="126">
        <v>783124307184</v>
      </c>
      <c r="G127" s="126">
        <v>822882013947</v>
      </c>
      <c r="H127" s="126">
        <v>867742928740</v>
      </c>
      <c r="I127" s="126">
        <v>906030161469</v>
      </c>
      <c r="J127" s="126">
        <v>1084939411490</v>
      </c>
      <c r="K127" s="138">
        <v>768803824850</v>
      </c>
      <c r="L127" s="138">
        <v>254391481567</v>
      </c>
      <c r="M127" s="126">
        <v>201156971704</v>
      </c>
      <c r="N127" s="138">
        <v>234364805902</v>
      </c>
      <c r="O127" s="138">
        <v>236000967009</v>
      </c>
      <c r="P127" s="138">
        <v>256742417120</v>
      </c>
      <c r="Q127" s="138">
        <v>237465302875</v>
      </c>
      <c r="R127" s="126">
        <v>202448019558</v>
      </c>
      <c r="S127" s="138">
        <v>212089341538</v>
      </c>
      <c r="T127" s="138">
        <v>216818849296</v>
      </c>
      <c r="U127" s="138">
        <v>229742791142</v>
      </c>
      <c r="V127" s="126">
        <v>233311921573</v>
      </c>
      <c r="W127" s="126">
        <v>254877792592</v>
      </c>
      <c r="X127" s="126">
        <v>171977770470</v>
      </c>
      <c r="Y127" s="30"/>
    </row>
    <row r="128" spans="2:25" ht="18">
      <c r="B128" s="78"/>
      <c r="C128" s="94" t="s">
        <v>57</v>
      </c>
      <c r="D128" s="68"/>
      <c r="E128" s="126">
        <v>122509390165</v>
      </c>
      <c r="F128" s="138">
        <v>120884229873</v>
      </c>
      <c r="G128" s="138">
        <v>114173643266</v>
      </c>
      <c r="H128" s="138">
        <v>65225134380</v>
      </c>
      <c r="I128" s="138">
        <v>40268338880</v>
      </c>
      <c r="J128" s="138">
        <v>72742350210</v>
      </c>
      <c r="K128" s="138">
        <v>34808915920</v>
      </c>
      <c r="L128" s="138">
        <v>99799665730</v>
      </c>
      <c r="M128" s="138">
        <v>93176116950</v>
      </c>
      <c r="N128" s="138">
        <v>55942761490</v>
      </c>
      <c r="O128" s="138">
        <v>100627298990</v>
      </c>
      <c r="P128" s="138">
        <v>62223329790</v>
      </c>
      <c r="Q128" s="138">
        <v>43267662930</v>
      </c>
      <c r="R128" s="138">
        <v>34259777470</v>
      </c>
      <c r="S128" s="138">
        <v>25587316370</v>
      </c>
      <c r="T128" s="138">
        <v>13755381560</v>
      </c>
      <c r="U128" s="138">
        <v>18111677070</v>
      </c>
      <c r="V128" s="138">
        <v>19694579620</v>
      </c>
      <c r="W128" s="126">
        <v>6120709810</v>
      </c>
      <c r="X128" s="138">
        <v>8621559310</v>
      </c>
      <c r="Y128" s="29"/>
    </row>
    <row r="129" spans="2:25" ht="18">
      <c r="B129" s="78"/>
      <c r="C129" s="65" t="s">
        <v>56</v>
      </c>
      <c r="D129" s="91"/>
      <c r="E129" s="138">
        <v>1635543021515</v>
      </c>
      <c r="F129" s="138">
        <v>1632499263805</v>
      </c>
      <c r="G129" s="138">
        <v>1720351587501</v>
      </c>
      <c r="H129" s="138">
        <v>1673570224050</v>
      </c>
      <c r="I129" s="138">
        <v>1657127269800</v>
      </c>
      <c r="J129" s="138">
        <v>1723948486880</v>
      </c>
      <c r="K129" s="138">
        <v>1650251826410</v>
      </c>
      <c r="L129" s="138">
        <v>1687161708990</v>
      </c>
      <c r="M129" s="138">
        <v>1668922580520</v>
      </c>
      <c r="N129" s="138">
        <v>1682318994730</v>
      </c>
      <c r="O129" s="138">
        <v>1700762404380</v>
      </c>
      <c r="P129" s="138">
        <v>1651882804460</v>
      </c>
      <c r="Q129" s="138">
        <v>1637794655750</v>
      </c>
      <c r="R129" s="138">
        <v>1573166553780</v>
      </c>
      <c r="S129" s="126">
        <v>1606174459250</v>
      </c>
      <c r="T129" s="126">
        <v>1576913211160</v>
      </c>
      <c r="U129" s="126">
        <v>1576913211160</v>
      </c>
      <c r="V129" s="126">
        <v>1502158108870</v>
      </c>
      <c r="W129" s="138">
        <v>1484852298680</v>
      </c>
      <c r="X129" s="138">
        <v>1440862233440</v>
      </c>
      <c r="Y129" s="29"/>
    </row>
    <row r="130" spans="2:25" ht="18">
      <c r="B130" s="78"/>
      <c r="C130" s="65" t="s">
        <v>55</v>
      </c>
      <c r="D130" s="91"/>
      <c r="E130" s="138">
        <v>947413833531</v>
      </c>
      <c r="F130" s="138">
        <v>925171449348</v>
      </c>
      <c r="G130" s="138">
        <v>954350764721</v>
      </c>
      <c r="H130" s="138">
        <v>987264102560</v>
      </c>
      <c r="I130" s="138">
        <v>1011402296450</v>
      </c>
      <c r="J130" s="138">
        <v>1199934182610</v>
      </c>
      <c r="K130" s="138">
        <v>1108393149430</v>
      </c>
      <c r="L130" s="138">
        <v>1145119627030</v>
      </c>
      <c r="M130" s="138">
        <v>1149071273340</v>
      </c>
      <c r="N130" s="138">
        <v>1196222277100</v>
      </c>
      <c r="O130" s="138">
        <v>1163308697210</v>
      </c>
      <c r="P130" s="138">
        <v>1157657905020</v>
      </c>
      <c r="Q130" s="138">
        <v>1150442593600</v>
      </c>
      <c r="R130" s="138">
        <v>1107466919690</v>
      </c>
      <c r="S130" s="138">
        <v>1147422082390</v>
      </c>
      <c r="T130" s="138">
        <v>1202475433210</v>
      </c>
      <c r="U130" s="138">
        <v>1202475433210</v>
      </c>
      <c r="V130" s="138">
        <v>1152558864460</v>
      </c>
      <c r="W130" s="138">
        <v>1155815109280</v>
      </c>
      <c r="X130" s="138">
        <v>1193471317930</v>
      </c>
      <c r="Y130" s="29"/>
    </row>
    <row r="131" spans="2:25" ht="17">
      <c r="B131" s="78">
        <v>22</v>
      </c>
      <c r="C131" s="94" t="s">
        <v>155</v>
      </c>
      <c r="D131" s="68" t="s">
        <v>152</v>
      </c>
      <c r="E131" s="127">
        <v>2016</v>
      </c>
      <c r="F131" s="127">
        <v>2017</v>
      </c>
      <c r="G131" s="127"/>
      <c r="H131" s="127"/>
      <c r="I131" s="127"/>
      <c r="J131" s="127">
        <v>2018</v>
      </c>
      <c r="K131" s="127"/>
      <c r="L131" s="127"/>
      <c r="M131" s="127"/>
      <c r="N131" s="127">
        <v>2019</v>
      </c>
      <c r="O131" s="127"/>
      <c r="P131" s="127"/>
      <c r="Q131" s="127"/>
      <c r="R131" s="127">
        <v>2020</v>
      </c>
      <c r="S131" s="127"/>
      <c r="T131" s="127"/>
      <c r="U131" s="127"/>
      <c r="V131" s="127">
        <v>2021</v>
      </c>
      <c r="W131" s="127"/>
      <c r="X131" s="127"/>
      <c r="Y131" s="75"/>
    </row>
    <row r="132" spans="2:25" ht="18">
      <c r="B132" s="78"/>
      <c r="C132" s="65" t="s">
        <v>58</v>
      </c>
      <c r="D132" s="91"/>
      <c r="E132" s="138">
        <v>66974000000</v>
      </c>
      <c r="F132" s="138">
        <v>10017000000</v>
      </c>
      <c r="G132" s="138">
        <v>10036000000</v>
      </c>
      <c r="H132" s="138">
        <v>10072000000</v>
      </c>
      <c r="I132" s="138">
        <v>5266000000</v>
      </c>
      <c r="J132" s="138">
        <v>5620000000</v>
      </c>
      <c r="K132" s="138">
        <v>5739000000</v>
      </c>
      <c r="L132" s="138">
        <v>5676000000</v>
      </c>
      <c r="M132" s="138">
        <v>2908000000</v>
      </c>
      <c r="N132" s="138">
        <v>3883000000</v>
      </c>
      <c r="O132" s="138">
        <v>3582000000</v>
      </c>
      <c r="P132" s="126">
        <v>3848000000</v>
      </c>
      <c r="Q132" s="138">
        <v>4159000000</v>
      </c>
      <c r="R132" s="138">
        <v>4726000000</v>
      </c>
      <c r="S132" s="138">
        <v>4707000000</v>
      </c>
      <c r="T132" s="126">
        <v>36420000</v>
      </c>
      <c r="U132" s="138">
        <v>2378000000</v>
      </c>
      <c r="V132" s="138">
        <v>2782000000</v>
      </c>
      <c r="W132" s="138">
        <v>5792000000</v>
      </c>
      <c r="X132" s="126">
        <v>19360000000</v>
      </c>
      <c r="Y132" s="30"/>
    </row>
    <row r="133" spans="2:25" ht="18">
      <c r="B133" s="78"/>
      <c r="C133" s="65" t="s">
        <v>59</v>
      </c>
      <c r="D133" s="91"/>
      <c r="E133" s="138">
        <v>7614802000000</v>
      </c>
      <c r="F133" s="138">
        <v>8237972000000</v>
      </c>
      <c r="G133" s="138">
        <v>8418027000000</v>
      </c>
      <c r="H133" s="138">
        <v>8559606000000</v>
      </c>
      <c r="I133" s="138">
        <v>8933611000000</v>
      </c>
      <c r="J133" s="138">
        <v>9092935000000</v>
      </c>
      <c r="K133" s="138">
        <v>9384657000000</v>
      </c>
      <c r="L133" s="138">
        <v>9629715000000</v>
      </c>
      <c r="M133" s="138">
        <v>10096465000000</v>
      </c>
      <c r="N133" s="138">
        <v>10167283000000</v>
      </c>
      <c r="O133" s="138">
        <v>10171991000000</v>
      </c>
      <c r="P133" s="126">
        <v>10296233000000</v>
      </c>
      <c r="Q133" s="138">
        <v>9827922000000</v>
      </c>
      <c r="R133" s="126">
        <v>9993154000000</v>
      </c>
      <c r="S133" s="138">
        <v>9956536000000</v>
      </c>
      <c r="T133" s="138">
        <v>1100750000000</v>
      </c>
      <c r="U133" s="138">
        <v>881184000000</v>
      </c>
      <c r="V133" s="138">
        <v>886605000000</v>
      </c>
      <c r="W133" s="138">
        <v>890104000000</v>
      </c>
      <c r="X133" s="138">
        <v>905818000000</v>
      </c>
      <c r="Y133" s="29"/>
    </row>
    <row r="134" spans="2:25" ht="18">
      <c r="B134" s="78"/>
      <c r="C134" s="94" t="s">
        <v>57</v>
      </c>
      <c r="D134" s="68"/>
      <c r="E134" s="138">
        <v>74568000000</v>
      </c>
      <c r="F134" s="138">
        <v>1643000000</v>
      </c>
      <c r="G134" s="138">
        <v>3557000000</v>
      </c>
      <c r="H134" s="138">
        <v>5727000000</v>
      </c>
      <c r="I134" s="138">
        <v>-3056000000</v>
      </c>
      <c r="J134" s="138">
        <v>2239000000</v>
      </c>
      <c r="K134" s="138">
        <v>4401000000</v>
      </c>
      <c r="L134" s="138">
        <v>6514000000</v>
      </c>
      <c r="M134" s="138">
        <v>-4628000000</v>
      </c>
      <c r="N134" s="138">
        <v>2038000000</v>
      </c>
      <c r="O134" s="138">
        <v>3908000000</v>
      </c>
      <c r="P134" s="138">
        <v>5916000000</v>
      </c>
      <c r="Q134" s="138">
        <v>-1587000000</v>
      </c>
      <c r="R134" s="138">
        <v>3232000000</v>
      </c>
      <c r="S134" s="138">
        <v>5835000000</v>
      </c>
      <c r="T134" s="138">
        <v>8104000000</v>
      </c>
      <c r="U134" s="126">
        <v>-13203000000</v>
      </c>
      <c r="V134" s="138">
        <v>2676000000</v>
      </c>
      <c r="W134" s="138">
        <v>16256000000</v>
      </c>
      <c r="X134" s="126">
        <v>27789000000</v>
      </c>
      <c r="Y134" s="30"/>
    </row>
    <row r="135" spans="2:25" ht="18">
      <c r="B135" s="78"/>
      <c r="C135" s="65" t="s">
        <v>56</v>
      </c>
      <c r="D135" s="91"/>
      <c r="E135" s="138">
        <v>2210890000000</v>
      </c>
      <c r="F135" s="138">
        <v>1333027000000</v>
      </c>
      <c r="G135" s="138">
        <v>1130566000000</v>
      </c>
      <c r="H135" s="138">
        <v>926816000000</v>
      </c>
      <c r="I135" s="138">
        <v>718022000000</v>
      </c>
      <c r="J135" s="138">
        <v>718285000000</v>
      </c>
      <c r="K135" s="138">
        <v>717748000000</v>
      </c>
      <c r="L135" s="138">
        <v>738947000000</v>
      </c>
      <c r="M135" s="126">
        <v>713505000000</v>
      </c>
      <c r="N135" s="138">
        <v>714279000000</v>
      </c>
      <c r="O135" s="138">
        <v>714607000000</v>
      </c>
      <c r="P135" s="138">
        <v>714126000000</v>
      </c>
      <c r="Q135" s="138">
        <v>15677000000</v>
      </c>
      <c r="R135" s="138">
        <v>16057000000</v>
      </c>
      <c r="S135" s="138">
        <v>16295000000</v>
      </c>
      <c r="T135" s="138">
        <v>4544000000</v>
      </c>
      <c r="U135" s="138">
        <v>3266000000</v>
      </c>
      <c r="V135" s="138">
        <v>3817000000</v>
      </c>
      <c r="W135" s="138">
        <v>6811000000</v>
      </c>
      <c r="X135" s="138">
        <v>20449000000</v>
      </c>
      <c r="Y135" s="29"/>
    </row>
    <row r="136" spans="2:25" ht="18">
      <c r="B136" s="78"/>
      <c r="C136" s="65" t="s">
        <v>55</v>
      </c>
      <c r="D136" s="91"/>
      <c r="E136" s="138">
        <v>14840403000000</v>
      </c>
      <c r="F136" s="138">
        <v>14182665000000</v>
      </c>
      <c r="G136" s="138">
        <v>14377270000000</v>
      </c>
      <c r="H136" s="138">
        <v>14554586000000</v>
      </c>
      <c r="I136" s="138">
        <v>14873446000000</v>
      </c>
      <c r="J136" s="138">
        <v>15048689000000</v>
      </c>
      <c r="K136" s="138">
        <v>15413292000000</v>
      </c>
      <c r="L136" s="138">
        <v>15717411000000</v>
      </c>
      <c r="M136" s="138">
        <v>16132748000000</v>
      </c>
      <c r="N136" s="138">
        <v>16177324000000</v>
      </c>
      <c r="O136" s="138">
        <v>16158653000000</v>
      </c>
      <c r="P136" s="126">
        <v>16298406000000</v>
      </c>
      <c r="Q136" s="138">
        <v>15260093000000</v>
      </c>
      <c r="R136" s="138">
        <v>15505454000000</v>
      </c>
      <c r="S136" s="138">
        <v>15433771000000</v>
      </c>
      <c r="T136" s="126">
        <v>9672782000000</v>
      </c>
      <c r="U136" s="138">
        <v>11306819000000</v>
      </c>
      <c r="V136" s="138">
        <v>11334689000000</v>
      </c>
      <c r="W136" s="138">
        <v>11383087000000</v>
      </c>
      <c r="X136" s="138">
        <v>11398801000000</v>
      </c>
      <c r="Y136" s="29"/>
    </row>
    <row r="137" spans="2:25" ht="17">
      <c r="B137" s="78">
        <v>23</v>
      </c>
      <c r="C137" s="94" t="s">
        <v>153</v>
      </c>
      <c r="D137" s="68" t="s">
        <v>154</v>
      </c>
      <c r="E137" s="127"/>
      <c r="F137" s="127"/>
      <c r="G137" s="127"/>
      <c r="H137" s="127">
        <v>2020</v>
      </c>
      <c r="I137" s="127"/>
      <c r="J137" s="127"/>
      <c r="K137" s="127"/>
      <c r="L137" s="127"/>
      <c r="M137" s="127"/>
      <c r="N137" s="127"/>
      <c r="O137" s="127"/>
      <c r="P137" s="127">
        <v>2022</v>
      </c>
      <c r="Q137" s="127"/>
      <c r="R137" s="127"/>
      <c r="S137" s="127"/>
      <c r="T137" s="127"/>
      <c r="U137" s="127"/>
      <c r="V137" s="127"/>
      <c r="W137" s="127"/>
      <c r="X137" s="127"/>
      <c r="Y137" s="75"/>
    </row>
    <row r="138" spans="2:25" ht="18">
      <c r="B138" s="78"/>
      <c r="C138" s="65" t="s">
        <v>58</v>
      </c>
      <c r="D138" s="91"/>
      <c r="E138" s="138">
        <v>412399831</v>
      </c>
      <c r="F138" s="138">
        <v>413919458</v>
      </c>
      <c r="G138" s="138">
        <v>452645220</v>
      </c>
      <c r="H138" s="138">
        <v>454001034</v>
      </c>
      <c r="I138" s="138">
        <v>426672548</v>
      </c>
      <c r="J138" s="138">
        <v>370438072</v>
      </c>
      <c r="K138" s="138">
        <v>350535138</v>
      </c>
      <c r="L138" s="138">
        <v>397376705</v>
      </c>
      <c r="M138" s="138">
        <v>382134556</v>
      </c>
      <c r="N138" s="138">
        <v>466214434</v>
      </c>
      <c r="O138" s="138">
        <v>551556637</v>
      </c>
      <c r="P138" s="138">
        <v>775582880</v>
      </c>
      <c r="Q138" s="126">
        <v>857974816</v>
      </c>
      <c r="R138" s="126">
        <v>989431528</v>
      </c>
      <c r="S138" s="138">
        <v>990343259</v>
      </c>
      <c r="T138" s="138">
        <v>772731911</v>
      </c>
      <c r="U138" s="138">
        <v>663788800</v>
      </c>
      <c r="V138" s="138">
        <v>725103870</v>
      </c>
      <c r="W138" s="138">
        <v>620526346</v>
      </c>
      <c r="X138" s="138">
        <v>704716702</v>
      </c>
      <c r="Y138" s="29"/>
    </row>
    <row r="139" spans="2:25" ht="18">
      <c r="B139" s="78"/>
      <c r="C139" s="65" t="s">
        <v>59</v>
      </c>
      <c r="D139" s="91"/>
      <c r="E139" s="138">
        <v>1137108847</v>
      </c>
      <c r="F139" s="138">
        <v>1030473755</v>
      </c>
      <c r="G139" s="138">
        <v>1111609940</v>
      </c>
      <c r="H139" s="138">
        <v>1172847045</v>
      </c>
      <c r="I139" s="138">
        <v>1184476974</v>
      </c>
      <c r="J139" s="138">
        <v>1340513544</v>
      </c>
      <c r="K139" s="138">
        <v>1369982437</v>
      </c>
      <c r="L139" s="138">
        <v>1298664634</v>
      </c>
      <c r="M139" s="138">
        <v>1227157604</v>
      </c>
      <c r="N139" s="138">
        <v>1271658574</v>
      </c>
      <c r="O139" s="138">
        <v>1318741475</v>
      </c>
      <c r="P139" s="138">
        <v>2877190810</v>
      </c>
      <c r="Q139" s="138">
        <v>2863059988</v>
      </c>
      <c r="R139" s="138">
        <v>2910570163</v>
      </c>
      <c r="S139" s="138">
        <v>2691895984</v>
      </c>
      <c r="T139" s="138">
        <v>922761750</v>
      </c>
      <c r="U139" s="138">
        <v>796041410</v>
      </c>
      <c r="V139" s="138">
        <v>838352940</v>
      </c>
      <c r="W139" s="138">
        <v>760273892</v>
      </c>
      <c r="X139" s="138">
        <v>848168229</v>
      </c>
      <c r="Y139" s="29"/>
    </row>
    <row r="140" spans="2:25" ht="18">
      <c r="B140" s="78"/>
      <c r="C140" s="94" t="s">
        <v>57</v>
      </c>
      <c r="D140" s="68"/>
      <c r="E140" s="138">
        <v>234158713</v>
      </c>
      <c r="F140" s="138">
        <v>247198206</v>
      </c>
      <c r="G140" s="138">
        <v>270495020</v>
      </c>
      <c r="H140" s="138">
        <v>360714680</v>
      </c>
      <c r="I140" s="138">
        <v>257338050</v>
      </c>
      <c r="J140" s="138">
        <v>183100040</v>
      </c>
      <c r="K140" s="138">
        <v>147448040</v>
      </c>
      <c r="L140" s="126">
        <v>202550270</v>
      </c>
      <c r="M140" s="138">
        <v>191254950</v>
      </c>
      <c r="N140" s="138">
        <v>230608130</v>
      </c>
      <c r="O140" s="138">
        <v>244318780</v>
      </c>
      <c r="P140" s="138">
        <v>342031110</v>
      </c>
      <c r="Q140" s="138">
        <v>349879042</v>
      </c>
      <c r="R140" s="138">
        <v>618809851</v>
      </c>
      <c r="S140" s="138">
        <v>426117290</v>
      </c>
      <c r="T140" s="138">
        <v>435273750</v>
      </c>
      <c r="U140" s="138">
        <v>454862730</v>
      </c>
      <c r="V140" s="138">
        <v>431407920</v>
      </c>
      <c r="W140" s="138">
        <v>288454034</v>
      </c>
      <c r="X140" s="138">
        <v>505224091</v>
      </c>
      <c r="Y140" s="29"/>
    </row>
    <row r="141" spans="2:25" ht="18">
      <c r="B141" s="78"/>
      <c r="C141" s="65" t="s">
        <v>56</v>
      </c>
      <c r="D141" s="91"/>
      <c r="E141" s="138">
        <v>3894684274</v>
      </c>
      <c r="F141" s="138">
        <v>3656148444</v>
      </c>
      <c r="G141" s="138">
        <v>3726167600</v>
      </c>
      <c r="H141" s="138">
        <v>3702805778</v>
      </c>
      <c r="I141" s="138">
        <v>3618551147</v>
      </c>
      <c r="J141" s="138">
        <v>3580300521</v>
      </c>
      <c r="K141" s="138">
        <v>3410878790</v>
      </c>
      <c r="L141" s="138">
        <v>3428550330</v>
      </c>
      <c r="M141" s="138">
        <v>3410767350</v>
      </c>
      <c r="N141" s="138">
        <v>3523808806</v>
      </c>
      <c r="O141" s="138">
        <v>3702688140</v>
      </c>
      <c r="P141" s="138">
        <v>4223787286</v>
      </c>
      <c r="Q141" s="138">
        <v>4169474938</v>
      </c>
      <c r="R141" s="138">
        <v>4460706322</v>
      </c>
      <c r="S141" s="138">
        <v>4544447280</v>
      </c>
      <c r="T141" s="138">
        <v>4488046970</v>
      </c>
      <c r="U141" s="138">
        <v>4296876350</v>
      </c>
      <c r="V141" s="138">
        <v>4365496480</v>
      </c>
      <c r="W141" s="138">
        <v>4188981843</v>
      </c>
      <c r="X141" s="138">
        <v>4202694216</v>
      </c>
      <c r="Y141" s="29"/>
    </row>
    <row r="142" spans="2:25" ht="18">
      <c r="B142" s="78"/>
      <c r="C142" s="65" t="s">
        <v>55</v>
      </c>
      <c r="D142" s="91"/>
      <c r="E142" s="138">
        <v>3340194521</v>
      </c>
      <c r="F142" s="138">
        <v>3065373617</v>
      </c>
      <c r="G142" s="138">
        <v>3850766560</v>
      </c>
      <c r="H142" s="138">
        <v>3192870099</v>
      </c>
      <c r="I142" s="138">
        <v>3141757787</v>
      </c>
      <c r="J142" s="138">
        <v>3102379044</v>
      </c>
      <c r="K142" s="138">
        <v>2984492757</v>
      </c>
      <c r="L142" s="138">
        <v>4027363270</v>
      </c>
      <c r="M142" s="138">
        <v>4018339600</v>
      </c>
      <c r="N142" s="138">
        <v>3306464265</v>
      </c>
      <c r="O142" s="138">
        <v>4217342370</v>
      </c>
      <c r="P142" s="138">
        <v>3577340599</v>
      </c>
      <c r="Q142" s="138">
        <v>3414338901</v>
      </c>
      <c r="R142" s="138">
        <v>3573120274</v>
      </c>
      <c r="S142" s="138">
        <v>4677917890</v>
      </c>
      <c r="T142" s="138">
        <v>2909684110</v>
      </c>
      <c r="U142" s="138">
        <v>2704033430</v>
      </c>
      <c r="V142" s="138">
        <v>2752294430</v>
      </c>
      <c r="W142" s="138">
        <v>2598798459</v>
      </c>
      <c r="X142" s="138">
        <v>2659557264</v>
      </c>
      <c r="Y142" s="29"/>
    </row>
    <row r="143" spans="2:25" ht="17">
      <c r="B143" s="78">
        <v>24</v>
      </c>
      <c r="C143" s="94" t="s">
        <v>156</v>
      </c>
      <c r="D143" s="68" t="s">
        <v>157</v>
      </c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75"/>
    </row>
    <row r="144" spans="2:25" ht="18">
      <c r="B144" s="78"/>
      <c r="C144" s="65" t="s">
        <v>58</v>
      </c>
      <c r="D144" s="91"/>
      <c r="E144" s="138">
        <v>3941143386250</v>
      </c>
      <c r="F144" s="138">
        <v>3735800160170</v>
      </c>
      <c r="G144" s="138">
        <v>3734865719037</v>
      </c>
      <c r="H144" s="138">
        <v>3861731207805</v>
      </c>
      <c r="I144" s="138">
        <v>3532422368502</v>
      </c>
      <c r="J144" s="138">
        <v>3479148465002</v>
      </c>
      <c r="K144" s="138">
        <v>3470181767852</v>
      </c>
      <c r="L144" s="126">
        <v>2388191472756</v>
      </c>
      <c r="M144" s="126">
        <v>2397525290702</v>
      </c>
      <c r="N144" s="126">
        <v>2412445997362</v>
      </c>
      <c r="O144" s="126">
        <v>2403239112326</v>
      </c>
      <c r="P144" s="138">
        <v>3395447292615</v>
      </c>
      <c r="Q144" s="138">
        <v>3368867936510</v>
      </c>
      <c r="R144" s="138">
        <v>2625899118534</v>
      </c>
      <c r="S144" s="138">
        <v>2541825872519</v>
      </c>
      <c r="T144" s="138">
        <v>2455645610550</v>
      </c>
      <c r="U144" s="138">
        <v>2529534847630</v>
      </c>
      <c r="V144" s="138">
        <v>2544933612911</v>
      </c>
      <c r="W144" s="138">
        <v>2560821365770</v>
      </c>
      <c r="X144" s="138">
        <v>2902172279779</v>
      </c>
      <c r="Y144" s="29"/>
    </row>
    <row r="145" spans="2:25" ht="18">
      <c r="B145" s="78"/>
      <c r="C145" s="65" t="s">
        <v>59</v>
      </c>
      <c r="D145" s="91"/>
      <c r="E145" s="138">
        <v>1740144384025</v>
      </c>
      <c r="F145" s="138">
        <v>1738885031340</v>
      </c>
      <c r="G145" s="138">
        <v>2015473020234</v>
      </c>
      <c r="H145" s="138">
        <v>2004495457707</v>
      </c>
      <c r="I145" s="138">
        <v>2173529100439</v>
      </c>
      <c r="J145" s="138">
        <v>2233178278928</v>
      </c>
      <c r="K145" s="138">
        <v>2456303360315</v>
      </c>
      <c r="L145" s="126">
        <v>9295120926887</v>
      </c>
      <c r="M145" s="126">
        <v>9661351928276</v>
      </c>
      <c r="N145" s="126">
        <v>9879774490670</v>
      </c>
      <c r="O145" s="126">
        <v>9835879895466</v>
      </c>
      <c r="P145" s="138">
        <v>3469212455512</v>
      </c>
      <c r="Q145" s="138">
        <v>3260169060972</v>
      </c>
      <c r="R145" s="138">
        <v>3372548861530</v>
      </c>
      <c r="S145" s="138">
        <v>3330099984213</v>
      </c>
      <c r="T145" s="138">
        <v>3054936013850</v>
      </c>
      <c r="U145" s="138">
        <v>3191602750800</v>
      </c>
      <c r="V145" s="138">
        <v>3222561993911</v>
      </c>
      <c r="W145" s="138">
        <v>3120939366840</v>
      </c>
      <c r="X145" s="138">
        <v>3296584233486</v>
      </c>
      <c r="Y145" s="29"/>
    </row>
    <row r="146" spans="2:25" ht="18">
      <c r="B146" s="78"/>
      <c r="C146" s="94" t="s">
        <v>57</v>
      </c>
      <c r="D146" s="68"/>
      <c r="E146" s="126">
        <v>937153030601</v>
      </c>
      <c r="F146" s="138">
        <v>280644911620</v>
      </c>
      <c r="G146" s="138">
        <v>346376991850</v>
      </c>
      <c r="H146" s="126">
        <v>1547573023100</v>
      </c>
      <c r="I146" s="138">
        <v>111825510140</v>
      </c>
      <c r="J146" s="138">
        <v>171193181090</v>
      </c>
      <c r="K146" s="138">
        <v>188613525164</v>
      </c>
      <c r="L146" s="126">
        <v>259875607674</v>
      </c>
      <c r="M146" s="138">
        <v>196944565020</v>
      </c>
      <c r="N146" s="138">
        <v>171710275680</v>
      </c>
      <c r="O146" s="138">
        <v>209538304190</v>
      </c>
      <c r="P146" s="138">
        <v>1430452503948</v>
      </c>
      <c r="Q146" s="138">
        <v>390429484125</v>
      </c>
      <c r="R146" s="138">
        <v>76415405105</v>
      </c>
      <c r="S146" s="138">
        <v>147710005340</v>
      </c>
      <c r="T146" s="138">
        <v>484305414360</v>
      </c>
      <c r="U146" s="126">
        <v>207707381420</v>
      </c>
      <c r="V146" s="126">
        <v>112761192120</v>
      </c>
      <c r="W146" s="138">
        <v>462294509360</v>
      </c>
      <c r="X146" s="126">
        <v>369544575613</v>
      </c>
      <c r="Y146" s="30"/>
    </row>
    <row r="147" spans="2:25" ht="18">
      <c r="B147" s="78"/>
      <c r="C147" s="65" t="s">
        <v>56</v>
      </c>
      <c r="D147" s="91"/>
      <c r="E147" s="138">
        <v>15739881399432</v>
      </c>
      <c r="F147" s="138">
        <v>15571009733150</v>
      </c>
      <c r="G147" s="138">
        <v>15764021593665</v>
      </c>
      <c r="H147" s="138">
        <v>16125557867483</v>
      </c>
      <c r="I147" s="126">
        <v>17000433883127</v>
      </c>
      <c r="J147" s="138">
        <v>16172472862726</v>
      </c>
      <c r="K147" s="138">
        <v>15626956366455</v>
      </c>
      <c r="L147" s="138">
        <v>14850039389857</v>
      </c>
      <c r="M147" s="138">
        <v>14900279553980</v>
      </c>
      <c r="N147" s="138">
        <v>14978491610970</v>
      </c>
      <c r="O147" s="138">
        <v>14886444567240</v>
      </c>
      <c r="P147" s="138">
        <v>14539539040795</v>
      </c>
      <c r="Q147" s="138">
        <v>14459152022603</v>
      </c>
      <c r="R147" s="138">
        <v>13716798330160</v>
      </c>
      <c r="S147" s="138">
        <v>13681221216460</v>
      </c>
      <c r="T147" s="138">
        <v>13528168874940</v>
      </c>
      <c r="U147" s="138">
        <v>13596571178560</v>
      </c>
      <c r="V147" s="138">
        <v>13624851904211</v>
      </c>
      <c r="W147" s="138">
        <v>13564317488170</v>
      </c>
      <c r="X147" s="138">
        <v>13688937894339</v>
      </c>
      <c r="Y147" s="29"/>
    </row>
    <row r="148" spans="2:25" ht="18">
      <c r="B148" s="78"/>
      <c r="C148" s="65" t="s">
        <v>55</v>
      </c>
      <c r="D148" s="91"/>
      <c r="E148" s="138">
        <v>8588976859753</v>
      </c>
      <c r="F148" s="138">
        <v>8552892395500</v>
      </c>
      <c r="G148" s="138">
        <v>8682607083730</v>
      </c>
      <c r="H148" s="138">
        <v>8875086191890</v>
      </c>
      <c r="I148" s="138">
        <v>9946647049584</v>
      </c>
      <c r="J148" s="138">
        <v>9275585634154</v>
      </c>
      <c r="K148" s="138">
        <v>9737683499243</v>
      </c>
      <c r="L148" s="138">
        <v>10629831146672</v>
      </c>
      <c r="M148" s="126">
        <v>10976890559460</v>
      </c>
      <c r="N148" s="126">
        <v>11172826191760</v>
      </c>
      <c r="O148" s="138">
        <v>11129670554770</v>
      </c>
      <c r="P148" s="138">
        <v>10355441282714</v>
      </c>
      <c r="Q148" s="138">
        <v>10225493428587</v>
      </c>
      <c r="R148" s="138">
        <v>9174044127352</v>
      </c>
      <c r="S148" s="138">
        <v>9249407295020</v>
      </c>
      <c r="T148" s="126">
        <v>9302636472830</v>
      </c>
      <c r="U148" s="126">
        <v>9192469387840</v>
      </c>
      <c r="V148" s="126">
        <v>9325451888991</v>
      </c>
      <c r="W148" s="126">
        <v>9408386059330</v>
      </c>
      <c r="X148" s="126">
        <v>9572111264549</v>
      </c>
      <c r="Y148" s="30"/>
    </row>
    <row r="149" spans="2:25" ht="17">
      <c r="B149" s="78">
        <v>25</v>
      </c>
      <c r="C149" s="63" t="s">
        <v>158</v>
      </c>
      <c r="D149" s="68" t="s">
        <v>159</v>
      </c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75"/>
    </row>
    <row r="150" spans="2:25" ht="18">
      <c r="B150" s="78"/>
      <c r="C150" s="65" t="s">
        <v>58</v>
      </c>
      <c r="D150" s="91"/>
      <c r="E150" s="138">
        <v>755894000000</v>
      </c>
      <c r="F150" s="138">
        <v>755894000000</v>
      </c>
      <c r="G150" s="138">
        <v>782905000000</v>
      </c>
      <c r="H150" s="126">
        <v>474261000000</v>
      </c>
      <c r="I150" s="138">
        <v>788453000000</v>
      </c>
      <c r="J150" s="138">
        <v>695739000000</v>
      </c>
      <c r="K150" s="138">
        <v>783106000000</v>
      </c>
      <c r="L150" s="126">
        <v>695360000000</v>
      </c>
      <c r="M150" s="138">
        <v>640210000000</v>
      </c>
      <c r="N150" s="138">
        <v>579151000000</v>
      </c>
      <c r="O150" s="138">
        <v>591544000000</v>
      </c>
      <c r="P150" s="138">
        <v>432800000000</v>
      </c>
      <c r="Q150" s="126">
        <v>480057000000</v>
      </c>
      <c r="R150" s="138">
        <v>514598000000</v>
      </c>
      <c r="S150" s="138">
        <v>493385000000</v>
      </c>
      <c r="T150" s="138">
        <v>558960000000</v>
      </c>
      <c r="U150" s="138">
        <v>527270000000</v>
      </c>
      <c r="V150" s="138">
        <v>492851000000</v>
      </c>
      <c r="W150" s="138">
        <v>513630000000</v>
      </c>
      <c r="X150" s="138">
        <v>496669000000</v>
      </c>
      <c r="Y150" s="29"/>
    </row>
    <row r="151" spans="2:25" ht="18">
      <c r="B151" s="78"/>
      <c r="C151" s="65" t="s">
        <v>59</v>
      </c>
      <c r="D151" s="91"/>
      <c r="E151" s="138">
        <v>2067003000000</v>
      </c>
      <c r="F151" s="138">
        <v>2067003000000</v>
      </c>
      <c r="G151" s="126">
        <v>2168675000000</v>
      </c>
      <c r="H151" s="138">
        <v>1152923000000</v>
      </c>
      <c r="I151" s="138">
        <v>1141798000000</v>
      </c>
      <c r="J151" s="138">
        <v>895418000000</v>
      </c>
      <c r="K151" s="138">
        <v>991781000000</v>
      </c>
      <c r="L151" s="138">
        <v>855449000000</v>
      </c>
      <c r="M151" s="138">
        <v>800858000000</v>
      </c>
      <c r="N151" s="138">
        <v>759023000000</v>
      </c>
      <c r="O151" s="138">
        <v>796469000000</v>
      </c>
      <c r="P151" s="138">
        <v>720020000000</v>
      </c>
      <c r="Q151" s="138">
        <v>766379000000</v>
      </c>
      <c r="R151" s="138">
        <v>804379000000</v>
      </c>
      <c r="S151" s="138">
        <v>796849000000</v>
      </c>
      <c r="T151" s="138">
        <v>827907000000</v>
      </c>
      <c r="U151" s="138">
        <v>788023000000</v>
      </c>
      <c r="V151" s="138">
        <v>755501000000</v>
      </c>
      <c r="W151" s="138">
        <v>746182000000</v>
      </c>
      <c r="X151" s="138">
        <v>659907000000</v>
      </c>
      <c r="Y151" s="29"/>
    </row>
    <row r="152" spans="2:25" ht="18">
      <c r="B152" s="78"/>
      <c r="C152" s="94" t="s">
        <v>57</v>
      </c>
      <c r="D152" s="68"/>
      <c r="E152" s="138">
        <v>296663000000</v>
      </c>
      <c r="F152" s="138">
        <v>296663000000</v>
      </c>
      <c r="G152" s="126">
        <v>464391000000</v>
      </c>
      <c r="H152" s="138">
        <v>428893000000</v>
      </c>
      <c r="I152" s="138">
        <v>347227000000</v>
      </c>
      <c r="J152" s="138">
        <v>249736000000</v>
      </c>
      <c r="K152" s="138">
        <v>354061000000</v>
      </c>
      <c r="L152" s="126">
        <v>332307000000</v>
      </c>
      <c r="M152" s="138">
        <v>349882000000</v>
      </c>
      <c r="N152" s="138">
        <v>338014000000</v>
      </c>
      <c r="O152" s="138">
        <v>405760000000</v>
      </c>
      <c r="P152" s="138">
        <v>427223000000</v>
      </c>
      <c r="Q152" s="138">
        <v>448910000000</v>
      </c>
      <c r="R152" s="138">
        <v>413873000000</v>
      </c>
      <c r="S152" s="138">
        <v>442843000000</v>
      </c>
      <c r="T152" s="126">
        <v>538134000000</v>
      </c>
      <c r="U152" s="138">
        <v>456440000000</v>
      </c>
      <c r="V152" s="138">
        <v>371987000000</v>
      </c>
      <c r="W152" s="138">
        <v>483580000000</v>
      </c>
      <c r="X152" s="126">
        <v>392006000000</v>
      </c>
      <c r="Y152" s="30"/>
    </row>
    <row r="153" spans="2:25" ht="18">
      <c r="B153" s="78"/>
      <c r="C153" s="65" t="s">
        <v>56</v>
      </c>
      <c r="D153" s="91"/>
      <c r="E153" s="126">
        <v>1756707000000</v>
      </c>
      <c r="F153" s="126">
        <v>1756707000000</v>
      </c>
      <c r="G153" s="126">
        <v>1771303000000</v>
      </c>
      <c r="H153" s="138">
        <v>1868966000000</v>
      </c>
      <c r="I153" s="126">
        <v>2165669000000</v>
      </c>
      <c r="J153" s="126">
        <v>2047640000000</v>
      </c>
      <c r="K153" s="126">
        <v>2123526000000</v>
      </c>
      <c r="L153" s="138">
        <v>2011557000000</v>
      </c>
      <c r="M153" s="138">
        <v>1959286000000</v>
      </c>
      <c r="N153" s="138">
        <v>1939830000000</v>
      </c>
      <c r="O153" s="138">
        <v>1952799000000</v>
      </c>
      <c r="P153" s="138">
        <v>1761634000000</v>
      </c>
      <c r="Q153" s="138">
        <v>1795669000000</v>
      </c>
      <c r="R153" s="138">
        <v>1801258000000</v>
      </c>
      <c r="S153" s="138">
        <v>1774242000000</v>
      </c>
      <c r="T153" s="138">
        <v>1826350000000</v>
      </c>
      <c r="U153" s="138">
        <v>1788304000000</v>
      </c>
      <c r="V153" s="138">
        <v>1743403000000</v>
      </c>
      <c r="W153" s="138">
        <v>1750760000000</v>
      </c>
      <c r="X153" s="138">
        <v>1850004000000</v>
      </c>
      <c r="Y153" s="29"/>
    </row>
    <row r="154" spans="2:25" ht="18">
      <c r="B154" s="78"/>
      <c r="C154" s="65" t="s">
        <v>55</v>
      </c>
      <c r="D154" s="91"/>
      <c r="E154" s="138">
        <v>5268889000000</v>
      </c>
      <c r="F154" s="138">
        <v>5268889000000</v>
      </c>
      <c r="G154" s="126">
        <v>5372737000000</v>
      </c>
      <c r="H154" s="138">
        <v>3526819000000</v>
      </c>
      <c r="I154" s="138">
        <v>3489158000000</v>
      </c>
      <c r="J154" s="138">
        <v>3405430000000</v>
      </c>
      <c r="K154" s="138">
        <v>3505354000000</v>
      </c>
      <c r="L154" s="138">
        <v>1182049000000</v>
      </c>
      <c r="M154" s="138">
        <v>1125979000000</v>
      </c>
      <c r="N154" s="138">
        <v>1099922000000</v>
      </c>
      <c r="O154" s="138">
        <v>1107585000000</v>
      </c>
      <c r="P154" s="138">
        <v>942744000000</v>
      </c>
      <c r="Q154" s="138">
        <v>988483000000</v>
      </c>
      <c r="R154" s="126">
        <v>996927000000</v>
      </c>
      <c r="S154" s="126">
        <v>978148000000</v>
      </c>
      <c r="T154" s="138">
        <v>1047257000000</v>
      </c>
      <c r="U154" s="138">
        <v>1004954000000</v>
      </c>
      <c r="V154" s="126">
        <v>965047000000</v>
      </c>
      <c r="W154" s="126">
        <v>951203000000</v>
      </c>
      <c r="X154" s="126">
        <v>881806000000</v>
      </c>
      <c r="Y154" s="30"/>
    </row>
    <row r="155" spans="2:25" ht="17">
      <c r="B155" s="78">
        <v>26</v>
      </c>
      <c r="C155" s="94" t="s">
        <v>160</v>
      </c>
      <c r="D155" s="68" t="s">
        <v>161</v>
      </c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75"/>
    </row>
    <row r="156" spans="2:25" ht="18">
      <c r="B156" s="78"/>
      <c r="C156" s="65" t="s">
        <v>58</v>
      </c>
      <c r="D156" s="91"/>
      <c r="E156" s="138">
        <v>8644023000000</v>
      </c>
      <c r="F156" s="138">
        <v>7691295000000</v>
      </c>
      <c r="G156" s="138">
        <v>10627483000000</v>
      </c>
      <c r="H156" s="138">
        <v>12444795000000</v>
      </c>
      <c r="I156" s="138">
        <v>11921416000000</v>
      </c>
      <c r="J156" s="138">
        <v>11084767000000</v>
      </c>
      <c r="K156" s="138">
        <v>10238122000000</v>
      </c>
      <c r="L156" s="138">
        <v>9594951000000</v>
      </c>
      <c r="M156" s="138">
        <v>10561919000000</v>
      </c>
      <c r="N156" s="126">
        <v>18225605000000</v>
      </c>
      <c r="O156" s="126">
        <v>17550822000000</v>
      </c>
      <c r="P156" s="138">
        <v>11499439000000</v>
      </c>
      <c r="Q156" s="138">
        <v>13480055000000</v>
      </c>
      <c r="R156" s="138">
        <v>16594351000000</v>
      </c>
      <c r="S156" s="138">
        <v>12226275000000</v>
      </c>
      <c r="T156" s="126">
        <v>18683115000000</v>
      </c>
      <c r="U156" s="126">
        <v>20649119000000</v>
      </c>
      <c r="V156" s="138">
        <v>14585318000000</v>
      </c>
      <c r="W156" s="138">
        <v>14604268000000</v>
      </c>
      <c r="X156" s="138">
        <v>15479659000000</v>
      </c>
      <c r="Y156" s="29"/>
    </row>
    <row r="157" spans="2:25" ht="18">
      <c r="B157" s="78"/>
      <c r="C157" s="65" t="s">
        <v>59</v>
      </c>
      <c r="D157" s="91"/>
      <c r="E157" s="138">
        <v>21091965000000</v>
      </c>
      <c r="F157" s="138">
        <v>20332933000000</v>
      </c>
      <c r="G157" s="138">
        <v>21190706000000</v>
      </c>
      <c r="H157" s="138">
        <v>22129440000000</v>
      </c>
      <c r="I157" s="126">
        <v>20506396000000</v>
      </c>
      <c r="J157" s="126">
        <v>20565492000000</v>
      </c>
      <c r="K157" s="126">
        <v>20914697000000</v>
      </c>
      <c r="L157" s="126">
        <v>22658094000000</v>
      </c>
      <c r="M157" s="138">
        <v>22831392000000</v>
      </c>
      <c r="N157" s="138">
        <v>25467654000000</v>
      </c>
      <c r="O157" s="138">
        <v>26764716000000</v>
      </c>
      <c r="P157" s="138">
        <v>28658152000000</v>
      </c>
      <c r="Q157" s="126">
        <v>34694022000000</v>
      </c>
      <c r="R157" s="138">
        <v>35565272000000</v>
      </c>
      <c r="S157" s="126">
        <v>35197164000000</v>
      </c>
      <c r="T157" s="126">
        <v>35874074000000</v>
      </c>
      <c r="U157" s="126">
        <v>37338681000000</v>
      </c>
      <c r="V157" s="138">
        <v>32586002000000</v>
      </c>
      <c r="W157" s="138">
        <v>33028348000000</v>
      </c>
      <c r="X157" s="138">
        <v>34134343000000</v>
      </c>
      <c r="Y157" s="29"/>
    </row>
    <row r="158" spans="2:25" ht="18">
      <c r="B158" s="78"/>
      <c r="C158" s="94" t="s">
        <v>57</v>
      </c>
      <c r="D158" s="68"/>
      <c r="E158" s="138">
        <v>6046164000000</v>
      </c>
      <c r="F158" s="126">
        <v>6245365000000</v>
      </c>
      <c r="G158" s="138">
        <v>6561512000000</v>
      </c>
      <c r="H158" s="138">
        <v>7264492000000</v>
      </c>
      <c r="I158" s="138">
        <v>6523095000000</v>
      </c>
      <c r="J158" s="138">
        <v>6928626000000</v>
      </c>
      <c r="K158" s="126">
        <v>7140305000000</v>
      </c>
      <c r="L158" s="126">
        <v>7333635000000</v>
      </c>
      <c r="M158" s="126">
        <v>7345302000000</v>
      </c>
      <c r="N158" s="126">
        <v>7638231000000</v>
      </c>
      <c r="O158" s="126">
        <v>8071561000000</v>
      </c>
      <c r="P158" s="126">
        <v>8333217000000</v>
      </c>
      <c r="Q158" s="138">
        <v>10872577000000</v>
      </c>
      <c r="R158" s="126">
        <v>11653997000000</v>
      </c>
      <c r="S158" s="126">
        <v>12004257000000</v>
      </c>
      <c r="T158" s="138">
        <v>12221488000000</v>
      </c>
      <c r="U158" s="138">
        <v>11945029000000</v>
      </c>
      <c r="V158" s="138">
        <v>12729727000000</v>
      </c>
      <c r="W158" s="138">
        <v>12787641000000</v>
      </c>
      <c r="X158" s="126">
        <v>13766385000000</v>
      </c>
      <c r="Y158" s="30"/>
    </row>
    <row r="159" spans="2:25" ht="18">
      <c r="B159" s="78"/>
      <c r="C159" s="65" t="s">
        <v>56</v>
      </c>
      <c r="D159" s="91"/>
      <c r="E159" s="138">
        <v>55629859000000</v>
      </c>
      <c r="F159" s="138">
        <v>55862548000000</v>
      </c>
      <c r="G159" s="138">
        <v>58372460000000</v>
      </c>
      <c r="H159" s="138">
        <v>62813000000000</v>
      </c>
      <c r="I159" s="138">
        <v>60878651000000</v>
      </c>
      <c r="J159" s="126">
        <v>61079475000000</v>
      </c>
      <c r="K159" s="126">
        <v>61843098000000</v>
      </c>
      <c r="L159" s="126">
        <v>62778740000000</v>
      </c>
      <c r="M159" s="126">
        <v>62891399000000</v>
      </c>
      <c r="N159" s="126">
        <v>70385556000000</v>
      </c>
      <c r="O159" s="126">
        <v>69845540000000</v>
      </c>
      <c r="P159" s="126">
        <v>63397148000000</v>
      </c>
      <c r="Q159" s="126">
        <v>100937285000000</v>
      </c>
      <c r="R159" s="126">
        <v>104432908000000</v>
      </c>
      <c r="S159" s="126">
        <v>102959170000000</v>
      </c>
      <c r="T159" s="126">
        <v>113657346000000</v>
      </c>
      <c r="U159" s="126">
        <v>114965913000000</v>
      </c>
      <c r="V159" s="138">
        <v>109895528000000</v>
      </c>
      <c r="W159" s="138">
        <v>112205112000000</v>
      </c>
      <c r="X159" s="138">
        <v>114722249000000</v>
      </c>
      <c r="Y159" s="29"/>
    </row>
    <row r="160" spans="2:25" ht="18">
      <c r="B160" s="78"/>
      <c r="C160" s="65" t="s">
        <v>55</v>
      </c>
      <c r="D160" s="91"/>
      <c r="E160" s="138">
        <v>43769996000000</v>
      </c>
      <c r="F160" s="138">
        <v>44087352000000</v>
      </c>
      <c r="G160" s="138">
        <v>47481386000000</v>
      </c>
      <c r="H160" s="138">
        <v>49105807000000</v>
      </c>
      <c r="I160" s="138">
        <v>47735273000000</v>
      </c>
      <c r="J160" s="138">
        <v>47693460000000</v>
      </c>
      <c r="K160" s="138">
        <v>48554809000000</v>
      </c>
      <c r="L160" s="138">
        <v>49865344000000</v>
      </c>
      <c r="M160" s="126">
        <v>49745067000000</v>
      </c>
      <c r="N160" s="126">
        <v>51833279000000</v>
      </c>
      <c r="O160" s="126">
        <v>52105741000000</v>
      </c>
      <c r="P160" s="138">
        <v>54216693000000</v>
      </c>
      <c r="Q160" s="126">
        <v>75187336000000</v>
      </c>
      <c r="R160" s="138">
        <v>74156271000000</v>
      </c>
      <c r="S160" s="138">
        <v>75648137000000</v>
      </c>
      <c r="T160" s="126">
        <v>85314350000000</v>
      </c>
      <c r="U160" s="126">
        <v>85697956000000</v>
      </c>
      <c r="V160" s="138">
        <v>81735057000000</v>
      </c>
      <c r="W160" s="126">
        <v>83163996000000</v>
      </c>
      <c r="X160" s="138">
        <v>81013457000000</v>
      </c>
      <c r="Y160" s="29"/>
    </row>
    <row r="161" spans="2:25" ht="17">
      <c r="B161" s="78">
        <v>27</v>
      </c>
      <c r="C161" s="94" t="s">
        <v>162</v>
      </c>
      <c r="D161" s="68" t="s">
        <v>163</v>
      </c>
      <c r="E161" s="127" t="s">
        <v>140</v>
      </c>
      <c r="F161" s="127">
        <v>2019</v>
      </c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75"/>
    </row>
    <row r="162" spans="2:25" ht="18">
      <c r="B162" s="78"/>
      <c r="C162" s="65" t="s">
        <v>58</v>
      </c>
      <c r="D162" s="91"/>
      <c r="E162" s="138">
        <v>989720000</v>
      </c>
      <c r="F162" s="138">
        <v>771349000</v>
      </c>
      <c r="G162" s="138">
        <v>848840000</v>
      </c>
      <c r="H162" s="126">
        <v>1114015000</v>
      </c>
      <c r="I162" s="138">
        <v>690608000</v>
      </c>
      <c r="J162" s="126">
        <v>593735000</v>
      </c>
      <c r="K162" s="126">
        <v>622285000</v>
      </c>
      <c r="L162" s="138">
        <v>572816000</v>
      </c>
      <c r="M162" s="138">
        <v>835342000</v>
      </c>
      <c r="N162" s="138">
        <v>817840000</v>
      </c>
      <c r="O162" s="138">
        <v>947221000</v>
      </c>
      <c r="P162" s="138">
        <v>1050307000</v>
      </c>
      <c r="Q162" s="138">
        <v>973082000</v>
      </c>
      <c r="R162" s="126">
        <v>1102769000</v>
      </c>
      <c r="S162" s="138">
        <v>1081099000</v>
      </c>
      <c r="T162" s="138">
        <v>941511000</v>
      </c>
      <c r="U162" s="138">
        <v>1072512000</v>
      </c>
      <c r="V162" s="138">
        <v>940138000</v>
      </c>
      <c r="W162" s="138">
        <v>790688000</v>
      </c>
      <c r="X162" s="126">
        <v>726021000</v>
      </c>
      <c r="Y162" s="30"/>
    </row>
    <row r="163" spans="2:25" ht="18">
      <c r="B163" s="78"/>
      <c r="C163" s="65" t="s">
        <v>59</v>
      </c>
      <c r="D163" s="91"/>
      <c r="E163" s="138">
        <v>1598675000</v>
      </c>
      <c r="F163" s="138">
        <v>1432700000</v>
      </c>
      <c r="G163" s="138">
        <v>1663600000</v>
      </c>
      <c r="H163" s="138">
        <v>1034494000</v>
      </c>
      <c r="I163" s="138">
        <v>2493429000</v>
      </c>
      <c r="J163" s="138">
        <v>806584000</v>
      </c>
      <c r="K163" s="138">
        <v>808726000</v>
      </c>
      <c r="L163" s="138">
        <v>1100737000</v>
      </c>
      <c r="M163" s="138">
        <v>827496000</v>
      </c>
      <c r="N163" s="138">
        <v>776649000</v>
      </c>
      <c r="O163" s="138">
        <v>1564953000</v>
      </c>
      <c r="P163" s="138">
        <v>1564953000</v>
      </c>
      <c r="Q163" s="138">
        <v>1486779000</v>
      </c>
      <c r="R163" s="138">
        <v>1581209000</v>
      </c>
      <c r="S163" s="138">
        <v>1549685000</v>
      </c>
      <c r="T163" s="138">
        <v>1424860000</v>
      </c>
      <c r="U163" s="138">
        <v>2399612000</v>
      </c>
      <c r="V163" s="138">
        <v>2322084000</v>
      </c>
      <c r="W163" s="138">
        <v>2188905000</v>
      </c>
      <c r="X163" s="138">
        <v>2089277000</v>
      </c>
      <c r="Y163" s="29"/>
    </row>
    <row r="164" spans="2:25" ht="18">
      <c r="B164" s="78"/>
      <c r="C164" s="94" t="s">
        <v>57</v>
      </c>
      <c r="D164" s="68"/>
      <c r="E164" s="138">
        <v>463439000</v>
      </c>
      <c r="F164" s="138">
        <v>418982000</v>
      </c>
      <c r="G164" s="138">
        <v>283068000</v>
      </c>
      <c r="H164" s="138">
        <v>351023000</v>
      </c>
      <c r="I164" s="138">
        <v>367427000</v>
      </c>
      <c r="J164" s="138">
        <v>311188000</v>
      </c>
      <c r="K164" s="138">
        <v>241637000</v>
      </c>
      <c r="L164" s="138">
        <v>385969000</v>
      </c>
      <c r="M164" s="138">
        <v>414864000</v>
      </c>
      <c r="N164" s="138">
        <v>484206000</v>
      </c>
      <c r="O164" s="138">
        <v>571070000</v>
      </c>
      <c r="P164" s="138">
        <v>554858000</v>
      </c>
      <c r="Q164" s="138">
        <v>545935000</v>
      </c>
      <c r="R164" s="138">
        <v>675991000</v>
      </c>
      <c r="S164" s="138">
        <v>662425000</v>
      </c>
      <c r="T164" s="138">
        <v>504729000</v>
      </c>
      <c r="U164" s="138">
        <v>395388000</v>
      </c>
      <c r="V164" s="138">
        <v>689832000</v>
      </c>
      <c r="W164" s="138">
        <v>294801000</v>
      </c>
      <c r="X164" s="138">
        <v>278786000</v>
      </c>
      <c r="Y164" s="29"/>
    </row>
    <row r="165" spans="2:25" ht="18">
      <c r="B165" s="78"/>
      <c r="C165" s="65" t="s">
        <v>56</v>
      </c>
      <c r="D165" s="91"/>
      <c r="E165" s="138">
        <v>4298318000</v>
      </c>
      <c r="F165" s="138">
        <v>4162076000</v>
      </c>
      <c r="G165" s="138">
        <v>4270829000</v>
      </c>
      <c r="H165" s="138">
        <v>4297548000</v>
      </c>
      <c r="I165" s="138">
        <v>3286723000</v>
      </c>
      <c r="J165" s="138">
        <v>2929603000</v>
      </c>
      <c r="K165" s="138">
        <v>3324157000</v>
      </c>
      <c r="L165" s="138">
        <v>3220364000</v>
      </c>
      <c r="M165" s="138">
        <v>3486349000</v>
      </c>
      <c r="N165" s="138">
        <v>3454929000</v>
      </c>
      <c r="O165" s="138">
        <v>3590753000</v>
      </c>
      <c r="P165" s="138">
        <v>3742961000</v>
      </c>
      <c r="Q165" s="138">
        <v>3773676000</v>
      </c>
      <c r="R165" s="138">
        <v>3915316000</v>
      </c>
      <c r="S165" s="138">
        <v>3892740000</v>
      </c>
      <c r="T165" s="138">
        <v>3729902000</v>
      </c>
      <c r="U165" s="138">
        <v>3162434000</v>
      </c>
      <c r="V165" s="138">
        <v>3147681000</v>
      </c>
      <c r="W165" s="138">
        <v>3021803000</v>
      </c>
      <c r="X165" s="138">
        <v>2922908000</v>
      </c>
      <c r="Y165" s="29"/>
    </row>
    <row r="166" spans="2:25" ht="18">
      <c r="B166" s="78"/>
      <c r="C166" s="65" t="s">
        <v>55</v>
      </c>
      <c r="D166" s="91"/>
      <c r="E166" s="138">
        <v>2498105000</v>
      </c>
      <c r="F166" s="138">
        <v>2401403000</v>
      </c>
      <c r="G166" s="138">
        <v>2572062000</v>
      </c>
      <c r="H166" s="138">
        <v>2671044000</v>
      </c>
      <c r="I166" s="138">
        <v>2930715000</v>
      </c>
      <c r="J166" s="138">
        <v>2730309000</v>
      </c>
      <c r="K166" s="138">
        <v>2852824000</v>
      </c>
      <c r="L166" s="138">
        <v>2807585000</v>
      </c>
      <c r="M166" s="138">
        <v>3037626000</v>
      </c>
      <c r="N166" s="138">
        <v>2946445000</v>
      </c>
      <c r="O166" s="138">
        <v>3181758000</v>
      </c>
      <c r="P166" s="138">
        <v>3277863000</v>
      </c>
      <c r="Q166" s="138">
        <v>3206894000</v>
      </c>
      <c r="R166" s="138">
        <v>3358737000</v>
      </c>
      <c r="S166" s="138">
        <v>3305303000</v>
      </c>
      <c r="T166" s="138">
        <v>3128823000</v>
      </c>
      <c r="U166" s="138">
        <v>2568069000</v>
      </c>
      <c r="V166" s="138">
        <v>2543513000</v>
      </c>
      <c r="W166" s="138">
        <v>2434851000</v>
      </c>
      <c r="X166" s="138">
        <v>2377151000</v>
      </c>
      <c r="Y166" s="29"/>
    </row>
    <row r="167" spans="2:25" ht="17" hidden="1">
      <c r="B167" s="78">
        <v>2</v>
      </c>
      <c r="C167" s="94" t="s">
        <v>164</v>
      </c>
      <c r="D167" s="68" t="s">
        <v>165</v>
      </c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75"/>
    </row>
    <row r="168" spans="2:25" ht="18" hidden="1">
      <c r="B168" s="78"/>
      <c r="C168" s="65" t="s">
        <v>58</v>
      </c>
      <c r="D168" s="91"/>
      <c r="E168" s="138">
        <v>1463305000000</v>
      </c>
      <c r="F168" s="138">
        <v>1340295000000</v>
      </c>
      <c r="G168" s="138">
        <v>1437231000000</v>
      </c>
      <c r="H168" s="138">
        <v>1286513000000</v>
      </c>
      <c r="I168" s="138">
        <v>1349216000000</v>
      </c>
      <c r="J168" s="138">
        <v>1314482000000</v>
      </c>
      <c r="K168" s="138">
        <v>1412561000000</v>
      </c>
      <c r="L168" s="126">
        <v>765837000000</v>
      </c>
      <c r="M168" s="126">
        <v>925456000000</v>
      </c>
      <c r="N168" s="138">
        <v>1075261000000</v>
      </c>
      <c r="O168" s="138">
        <v>1259935000000</v>
      </c>
      <c r="P168" s="126">
        <v>1459764000000</v>
      </c>
      <c r="Q168" s="126">
        <v>1438260000000</v>
      </c>
      <c r="R168" s="138">
        <v>1053303000000</v>
      </c>
      <c r="S168" s="138">
        <v>1080800000000</v>
      </c>
      <c r="T168" s="138">
        <v>707427000000</v>
      </c>
      <c r="U168" s="138">
        <v>745733000000</v>
      </c>
      <c r="V168" s="138">
        <v>712864000000</v>
      </c>
      <c r="W168" s="138">
        <v>831079000000</v>
      </c>
      <c r="X168" s="138">
        <v>781553000000</v>
      </c>
      <c r="Y168" s="29"/>
    </row>
    <row r="169" spans="2:25" ht="18" hidden="1">
      <c r="B169" s="78"/>
      <c r="C169" s="65" t="s">
        <v>59</v>
      </c>
      <c r="D169" s="91"/>
      <c r="E169" s="126">
        <v>12987801000000</v>
      </c>
      <c r="F169" s="138">
        <v>12297806000000</v>
      </c>
      <c r="G169" s="138">
        <v>12255446000000</v>
      </c>
      <c r="H169" s="138">
        <v>12087495000000</v>
      </c>
      <c r="I169" s="126">
        <v>14317211000000</v>
      </c>
      <c r="J169" s="138">
        <v>12825274000000</v>
      </c>
      <c r="K169" s="138">
        <v>13327800000000</v>
      </c>
      <c r="L169" s="138">
        <v>12734760000000</v>
      </c>
      <c r="M169" s="138">
        <v>13267840000000</v>
      </c>
      <c r="N169" s="138">
        <v>13333970000000</v>
      </c>
      <c r="O169" s="138">
        <v>12972210000000</v>
      </c>
      <c r="P169" s="138">
        <v>12870326000000</v>
      </c>
      <c r="Q169" s="138">
        <v>11085645000000</v>
      </c>
      <c r="R169" s="126">
        <v>7916147000000</v>
      </c>
      <c r="S169" s="138">
        <v>8141884000000</v>
      </c>
      <c r="T169" s="126">
        <v>8305609000000</v>
      </c>
      <c r="U169" s="126">
        <v>8114640000000</v>
      </c>
      <c r="V169" s="126">
        <v>8053436000000</v>
      </c>
      <c r="W169" s="126">
        <v>8257462000000</v>
      </c>
      <c r="X169" s="126">
        <v>7694151000000</v>
      </c>
      <c r="Y169" s="30"/>
    </row>
    <row r="170" spans="2:25" ht="18" hidden="1">
      <c r="B170" s="78"/>
      <c r="C170" s="94" t="s">
        <v>57</v>
      </c>
      <c r="D170" s="68"/>
      <c r="E170" s="138">
        <v>479067000000</v>
      </c>
      <c r="F170" s="138">
        <v>437234000000</v>
      </c>
      <c r="G170" s="138">
        <v>504817000000</v>
      </c>
      <c r="H170" s="138">
        <v>562899000000</v>
      </c>
      <c r="I170" s="138">
        <v>540317000000</v>
      </c>
      <c r="J170" s="138">
        <v>596791000000</v>
      </c>
      <c r="K170" s="138">
        <v>596860000000</v>
      </c>
      <c r="L170" s="138">
        <v>772749000000</v>
      </c>
      <c r="M170" s="138">
        <v>788953000000</v>
      </c>
      <c r="N170" s="126">
        <v>985572000000</v>
      </c>
      <c r="O170" s="126">
        <v>1104150000000</v>
      </c>
      <c r="P170" s="138">
        <v>1092439000000</v>
      </c>
      <c r="Q170" s="126">
        <v>1192836000000</v>
      </c>
      <c r="R170" s="126">
        <v>252770000000</v>
      </c>
      <c r="S170" s="138">
        <v>717026000000</v>
      </c>
      <c r="T170" s="126">
        <v>2026698000000</v>
      </c>
      <c r="U170" s="138">
        <v>663539000000</v>
      </c>
      <c r="V170" s="138">
        <v>581424000000</v>
      </c>
      <c r="W170" s="138">
        <v>619083000000</v>
      </c>
      <c r="X170" s="126">
        <v>541107000000</v>
      </c>
      <c r="Y170" s="30"/>
    </row>
    <row r="171" spans="2:25" ht="18" hidden="1">
      <c r="B171" s="78"/>
      <c r="C171" s="65" t="s">
        <v>56</v>
      </c>
      <c r="D171" s="91"/>
      <c r="E171" s="138">
        <v>13329647000000</v>
      </c>
      <c r="F171" s="138">
        <v>13175163000000</v>
      </c>
      <c r="G171" s="138">
        <v>13265645000000</v>
      </c>
      <c r="H171" s="138">
        <v>8399862000000</v>
      </c>
      <c r="I171" s="138">
        <v>8683335000000</v>
      </c>
      <c r="J171" s="138">
        <v>8476572000000</v>
      </c>
      <c r="K171" s="138">
        <v>8590322000000</v>
      </c>
      <c r="L171" s="138">
        <v>7576090000000</v>
      </c>
      <c r="M171" s="138">
        <v>7784803000000</v>
      </c>
      <c r="N171" s="138">
        <v>7920939000000</v>
      </c>
      <c r="O171" s="138">
        <v>8007614000000</v>
      </c>
      <c r="P171" s="138">
        <v>8258457000000</v>
      </c>
      <c r="Q171" s="138">
        <v>8257202000000</v>
      </c>
      <c r="R171" s="126">
        <v>5222047000000</v>
      </c>
      <c r="S171" s="126">
        <v>5373498000000</v>
      </c>
      <c r="T171" s="126">
        <v>4540302000000</v>
      </c>
      <c r="U171" s="126">
        <v>4613733000000</v>
      </c>
      <c r="V171" s="126">
        <v>4579138000000</v>
      </c>
      <c r="W171" s="126">
        <v>4727821000000</v>
      </c>
      <c r="X171" s="126">
        <v>4559725000000</v>
      </c>
      <c r="Y171" s="30"/>
    </row>
    <row r="172" spans="2:25" ht="18" hidden="1">
      <c r="B172" s="78"/>
      <c r="C172" s="65" t="s">
        <v>55</v>
      </c>
      <c r="D172" s="91"/>
      <c r="E172" s="138">
        <v>14731993000000</v>
      </c>
      <c r="F172" s="138">
        <v>14658157000000</v>
      </c>
      <c r="G172" s="138">
        <v>14890311000000</v>
      </c>
      <c r="H172" s="138">
        <v>13846273000000</v>
      </c>
      <c r="I172" s="126">
        <v>16154934000000</v>
      </c>
      <c r="J172" s="138">
        <v>14432953000000</v>
      </c>
      <c r="K172" s="138">
        <v>15094624000000</v>
      </c>
      <c r="L172" s="138">
        <v>14586549000000</v>
      </c>
      <c r="M172" s="138">
        <v>13927490000000</v>
      </c>
      <c r="N172" s="138">
        <v>13992194000000</v>
      </c>
      <c r="O172" s="138">
        <v>13883882000000</v>
      </c>
      <c r="P172" s="138">
        <v>15151341000000</v>
      </c>
      <c r="Q172" s="138">
        <v>15140904000000</v>
      </c>
      <c r="R172" s="126">
        <v>10125271000000</v>
      </c>
      <c r="S172" s="126">
        <v>9546589000000</v>
      </c>
      <c r="T172" s="126">
        <v>10019135000000</v>
      </c>
      <c r="U172" s="126">
        <v>9866366000000</v>
      </c>
      <c r="V172" s="126">
        <v>9818162000000</v>
      </c>
      <c r="W172" s="126">
        <v>10537571000000</v>
      </c>
      <c r="X172" s="126">
        <v>10492595000000</v>
      </c>
      <c r="Y172" s="30"/>
    </row>
    <row r="173" spans="2:25" ht="17" hidden="1">
      <c r="B173" s="78">
        <v>14</v>
      </c>
      <c r="C173" s="94" t="s">
        <v>166</v>
      </c>
      <c r="D173" s="68" t="s">
        <v>167</v>
      </c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75"/>
    </row>
    <row r="174" spans="2:25" ht="18" hidden="1">
      <c r="B174" s="78"/>
      <c r="C174" s="65" t="s">
        <v>58</v>
      </c>
      <c r="D174" s="91"/>
      <c r="E174" s="138">
        <v>6736788000000</v>
      </c>
      <c r="F174" s="138">
        <v>6115170000000</v>
      </c>
      <c r="G174" s="138">
        <v>5733857000000</v>
      </c>
      <c r="H174" s="138">
        <v>5551359000000</v>
      </c>
      <c r="I174" s="138">
        <v>5442350000000</v>
      </c>
      <c r="J174" s="126">
        <v>4633840000000</v>
      </c>
      <c r="K174" s="126">
        <v>4623998000000</v>
      </c>
      <c r="L174" s="138">
        <v>4808584000000</v>
      </c>
      <c r="M174" s="126">
        <v>4987444000000</v>
      </c>
      <c r="N174" s="138">
        <v>4627899000000</v>
      </c>
      <c r="O174" s="138">
        <v>4656357000000</v>
      </c>
      <c r="P174" s="138">
        <v>5852668000000</v>
      </c>
      <c r="Q174" s="138">
        <v>6196551000000</v>
      </c>
      <c r="R174" s="138">
        <v>5523108000000</v>
      </c>
      <c r="S174" s="138">
        <v>4751812000000</v>
      </c>
      <c r="T174" s="138">
        <v>4702229000000</v>
      </c>
      <c r="U174" s="138">
        <v>5932720000000</v>
      </c>
      <c r="V174" s="126">
        <v>5634855000000</v>
      </c>
      <c r="W174" s="138">
        <v>5032002000000</v>
      </c>
      <c r="X174" s="138">
        <v>4859606000000</v>
      </c>
      <c r="Y174" s="29"/>
    </row>
    <row r="175" spans="2:25" ht="18" hidden="1">
      <c r="B175" s="78"/>
      <c r="C175" s="65" t="s">
        <v>59</v>
      </c>
      <c r="D175" s="91"/>
      <c r="E175" s="138">
        <v>6447115000000</v>
      </c>
      <c r="F175" s="138">
        <v>5472319000000</v>
      </c>
      <c r="G175" s="138">
        <v>5147330000000</v>
      </c>
      <c r="H175" s="138">
        <v>5495086000000</v>
      </c>
      <c r="I175" s="138">
        <v>6106733000000</v>
      </c>
      <c r="J175" s="138">
        <v>5566037000000</v>
      </c>
      <c r="K175" s="138">
        <v>5422603000000</v>
      </c>
      <c r="L175" s="138">
        <v>5815645000000</v>
      </c>
      <c r="M175" s="138">
        <v>6125424000000</v>
      </c>
      <c r="N175" s="138">
        <v>5254655000000</v>
      </c>
      <c r="O175" s="138">
        <v>5198719000000</v>
      </c>
      <c r="P175" s="138">
        <v>5165883000000</v>
      </c>
      <c r="Q175" s="138">
        <v>5331168000000</v>
      </c>
      <c r="R175" s="138">
        <v>4493143000000</v>
      </c>
      <c r="S175" s="138">
        <v>4575481000000</v>
      </c>
      <c r="T175" s="138">
        <v>4693036000000</v>
      </c>
      <c r="U175" s="138">
        <v>5664329000000</v>
      </c>
      <c r="V175" s="138">
        <v>5458723000000</v>
      </c>
      <c r="W175" s="138">
        <v>5326468000000</v>
      </c>
      <c r="X175" s="138">
        <v>4859364000000</v>
      </c>
      <c r="Y175" s="29"/>
    </row>
    <row r="176" spans="2:25" ht="18" hidden="1">
      <c r="B176" s="78"/>
      <c r="C176" s="94" t="s">
        <v>57</v>
      </c>
      <c r="D176" s="68"/>
      <c r="E176" s="138">
        <v>2730980000000</v>
      </c>
      <c r="F176" s="138">
        <v>3543320000000</v>
      </c>
      <c r="G176" s="138">
        <v>2894153000000</v>
      </c>
      <c r="H176" s="138">
        <v>3113264000000</v>
      </c>
      <c r="I176" s="138">
        <v>2683149000000</v>
      </c>
      <c r="J176" s="138">
        <v>2592656000000</v>
      </c>
      <c r="K176" s="138">
        <v>2325656000000</v>
      </c>
      <c r="L176" s="138">
        <v>2698887000000</v>
      </c>
      <c r="M176" s="138">
        <v>2305739000000</v>
      </c>
      <c r="N176" s="138">
        <v>2821453000000</v>
      </c>
      <c r="O176" s="138">
        <v>2294092000000</v>
      </c>
      <c r="P176" s="138">
        <v>2888869000000</v>
      </c>
      <c r="Q176" s="138">
        <v>2681804000000</v>
      </c>
      <c r="R176" s="138">
        <v>2897552000000</v>
      </c>
      <c r="S176" s="138">
        <v>2564174000000</v>
      </c>
      <c r="T176" s="138">
        <v>2715880000000</v>
      </c>
      <c r="U176" s="138">
        <v>2514917000000</v>
      </c>
      <c r="V176" s="138">
        <v>3012739000000</v>
      </c>
      <c r="W176" s="138">
        <v>2671867000000</v>
      </c>
      <c r="X176" s="138">
        <v>2763300000000</v>
      </c>
      <c r="Y176" s="29"/>
    </row>
    <row r="177" spans="2:26" ht="18" hidden="1">
      <c r="B177" s="78"/>
      <c r="C177" s="65" t="s">
        <v>56</v>
      </c>
      <c r="D177" s="91"/>
      <c r="E177" s="138">
        <v>17473352000000</v>
      </c>
      <c r="F177" s="138">
        <v>16511132000000</v>
      </c>
      <c r="G177" s="138">
        <v>15982542000000</v>
      </c>
      <c r="H177" s="126">
        <v>14907543000000</v>
      </c>
      <c r="I177" s="138">
        <v>17545729000000</v>
      </c>
      <c r="J177" s="138">
        <v>17073295000000</v>
      </c>
      <c r="K177" s="138">
        <v>16798829000000</v>
      </c>
      <c r="L177" s="138">
        <v>15682406000000</v>
      </c>
      <c r="M177" s="138">
        <v>15657749000000</v>
      </c>
      <c r="N177" s="138">
        <v>15583068000000</v>
      </c>
      <c r="O177" s="138">
        <v>15734371000000</v>
      </c>
      <c r="P177" s="138">
        <v>14760983000000</v>
      </c>
      <c r="Q177" s="138">
        <v>15033363000000</v>
      </c>
      <c r="R177" s="138">
        <v>13607921000000</v>
      </c>
      <c r="S177" s="138">
        <v>12917409000000</v>
      </c>
      <c r="T177" s="138">
        <v>13082641000000</v>
      </c>
      <c r="U177" s="138">
        <v>13660384000000</v>
      </c>
      <c r="V177" s="138">
        <v>13293670000000</v>
      </c>
      <c r="W177" s="138">
        <v>13154315000000</v>
      </c>
      <c r="X177" s="138">
        <v>13089217000000</v>
      </c>
      <c r="Y177" s="29"/>
    </row>
    <row r="178" spans="2:26" ht="18" hidden="1">
      <c r="B178" s="78"/>
      <c r="C178" s="65" t="s">
        <v>55</v>
      </c>
      <c r="D178" s="91"/>
      <c r="E178" s="138">
        <v>11318035000000</v>
      </c>
      <c r="F178" s="138">
        <v>10642923000000</v>
      </c>
      <c r="G178" s="138">
        <v>10591013000000</v>
      </c>
      <c r="H178" s="138">
        <v>9644191000000</v>
      </c>
      <c r="I178" s="138">
        <v>12163055000000</v>
      </c>
      <c r="J178" s="138">
        <v>12107611000000</v>
      </c>
      <c r="K178" s="138">
        <v>12060787000000</v>
      </c>
      <c r="L178" s="138">
        <v>12314619000000</v>
      </c>
      <c r="M178" s="138">
        <v>12659845000000</v>
      </c>
      <c r="N178" s="138">
        <v>11595873000000</v>
      </c>
      <c r="O178" s="138">
        <v>11546593000000</v>
      </c>
      <c r="P178" s="138">
        <v>10885577000000</v>
      </c>
      <c r="Q178" s="138">
        <v>10326438000000</v>
      </c>
      <c r="R178" s="138">
        <v>8981562000000</v>
      </c>
      <c r="S178" s="138">
        <v>8744549000000</v>
      </c>
      <c r="T178" s="138">
        <v>8755718000000</v>
      </c>
      <c r="U178" s="138">
        <v>9462284000000</v>
      </c>
      <c r="V178" s="138">
        <v>9046518000000</v>
      </c>
      <c r="W178" s="138">
        <v>8773532000000</v>
      </c>
      <c r="X178" s="138">
        <v>8390166000000</v>
      </c>
      <c r="Y178" s="29"/>
    </row>
    <row r="179" spans="2:26" ht="17">
      <c r="B179" s="78">
        <v>28</v>
      </c>
      <c r="C179" s="94" t="s">
        <v>168</v>
      </c>
      <c r="D179" s="68" t="s">
        <v>169</v>
      </c>
      <c r="E179" s="127" t="s">
        <v>140</v>
      </c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75"/>
    </row>
    <row r="180" spans="2:26" ht="18">
      <c r="B180" s="78"/>
      <c r="C180" s="65" t="s">
        <v>58</v>
      </c>
      <c r="D180" s="91"/>
      <c r="E180" s="138">
        <v>3863718030000</v>
      </c>
      <c r="F180" s="138">
        <v>4210530458000</v>
      </c>
      <c r="G180" s="138">
        <v>4355576390000</v>
      </c>
      <c r="H180" s="138">
        <v>4453113477000</v>
      </c>
      <c r="I180" s="126">
        <v>4420038464000</v>
      </c>
      <c r="J180" s="126">
        <v>4349454424000</v>
      </c>
      <c r="K180" s="138">
        <v>4184038739000</v>
      </c>
      <c r="L180" s="138">
        <v>4314517392000</v>
      </c>
      <c r="M180" s="138">
        <v>3859597008000</v>
      </c>
      <c r="N180" s="138">
        <v>3870571241000</v>
      </c>
      <c r="O180" s="138">
        <v>3926188925000</v>
      </c>
      <c r="P180" s="138">
        <v>3870566777000</v>
      </c>
      <c r="Q180" s="138">
        <v>3919385522000</v>
      </c>
      <c r="R180" s="138">
        <v>3770675224000</v>
      </c>
      <c r="S180" s="138">
        <v>3716667119000</v>
      </c>
      <c r="T180" s="126">
        <v>3620921862000</v>
      </c>
      <c r="U180" s="138">
        <v>3550810168000</v>
      </c>
      <c r="V180" s="138">
        <v>3458472541000</v>
      </c>
      <c r="W180" s="126">
        <v>4274505551000</v>
      </c>
      <c r="X180" s="126">
        <v>4149612989000</v>
      </c>
      <c r="Y180" s="30"/>
    </row>
    <row r="181" spans="2:26" ht="18">
      <c r="B181" s="78"/>
      <c r="C181" s="65" t="s">
        <v>59</v>
      </c>
      <c r="D181" s="91"/>
      <c r="E181" s="126">
        <v>3382175325000</v>
      </c>
      <c r="F181" s="138">
        <v>4299092197000</v>
      </c>
      <c r="G181" s="138">
        <v>4974480334000</v>
      </c>
      <c r="H181" s="138">
        <v>5637728568000</v>
      </c>
      <c r="I181" s="126">
        <v>7113791519000</v>
      </c>
      <c r="J181" s="126">
        <v>8055149252000</v>
      </c>
      <c r="K181" s="126">
        <v>7556886259000</v>
      </c>
      <c r="L181" s="126">
        <v>8030773889000</v>
      </c>
      <c r="M181" s="138">
        <v>7910773514000</v>
      </c>
      <c r="N181" s="138">
        <v>8099183393000</v>
      </c>
      <c r="O181" s="138">
        <v>8078295855000</v>
      </c>
      <c r="P181" s="138">
        <v>7990129747000</v>
      </c>
      <c r="Q181" s="138">
        <v>8854188785000</v>
      </c>
      <c r="R181" s="138">
        <v>8826924278000</v>
      </c>
      <c r="S181" s="138">
        <v>9206510425000</v>
      </c>
      <c r="T181" s="138">
        <v>9670648522000</v>
      </c>
      <c r="U181" s="138">
        <v>10197136632000</v>
      </c>
      <c r="V181" s="138">
        <v>9846420688000</v>
      </c>
      <c r="W181" s="138">
        <v>11052091045000</v>
      </c>
      <c r="X181" s="138">
        <v>11289652006000</v>
      </c>
      <c r="Y181" s="29"/>
    </row>
    <row r="182" spans="2:26" ht="18">
      <c r="B182" s="78"/>
      <c r="C182" s="94" t="s">
        <v>57</v>
      </c>
      <c r="D182" s="68"/>
      <c r="E182" s="138">
        <v>442138561000</v>
      </c>
      <c r="F182" s="138">
        <v>522962913000</v>
      </c>
      <c r="G182" s="138">
        <v>594596949000</v>
      </c>
      <c r="H182" s="138">
        <v>541223575000</v>
      </c>
      <c r="I182" s="138">
        <v>458998523000</v>
      </c>
      <c r="J182" s="138">
        <v>458899091000</v>
      </c>
      <c r="K182" s="138">
        <v>415206838000</v>
      </c>
      <c r="L182" s="138">
        <v>416088956000</v>
      </c>
      <c r="M182" s="138">
        <v>540321628000</v>
      </c>
      <c r="N182" s="138">
        <v>439409995000</v>
      </c>
      <c r="O182" s="138">
        <v>480865620000</v>
      </c>
      <c r="P182" s="138">
        <v>402911502000</v>
      </c>
      <c r="Q182" s="138">
        <v>489011505000</v>
      </c>
      <c r="R182" s="138">
        <v>461724790000</v>
      </c>
      <c r="S182" s="138">
        <v>452503587000</v>
      </c>
      <c r="T182" s="138">
        <v>414292037000</v>
      </c>
      <c r="U182" s="138">
        <v>370099118000</v>
      </c>
      <c r="V182" s="138">
        <v>322845684000</v>
      </c>
      <c r="W182" s="126">
        <v>296377166000</v>
      </c>
      <c r="X182" s="126">
        <v>287143103000</v>
      </c>
      <c r="Y182" s="30"/>
    </row>
    <row r="183" spans="2:26" ht="18">
      <c r="B183" s="78"/>
      <c r="C183" s="65" t="s">
        <v>56</v>
      </c>
      <c r="D183" s="91"/>
      <c r="E183" s="138">
        <v>8024565813000</v>
      </c>
      <c r="F183" s="138">
        <v>8364516247000</v>
      </c>
      <c r="G183" s="138">
        <v>8432389817000</v>
      </c>
      <c r="H183" s="138">
        <v>8523745483000</v>
      </c>
      <c r="I183" s="138">
        <v>8567653603000</v>
      </c>
      <c r="J183" s="138">
        <v>8499729530000</v>
      </c>
      <c r="K183" s="138">
        <v>8328255285000</v>
      </c>
      <c r="L183" s="138">
        <v>8491044474000</v>
      </c>
      <c r="M183" s="138">
        <v>8584281930000</v>
      </c>
      <c r="N183" s="138">
        <v>8667446737000</v>
      </c>
      <c r="O183" s="138">
        <v>8710116005000</v>
      </c>
      <c r="P183" s="138">
        <v>8607546950000</v>
      </c>
      <c r="Q183" s="138">
        <v>8573516557000</v>
      </c>
      <c r="R183" s="138">
        <v>8341725505000</v>
      </c>
      <c r="S183" s="126">
        <v>8280427170000</v>
      </c>
      <c r="T183" s="138">
        <v>9024753690000</v>
      </c>
      <c r="U183" s="138">
        <v>8873182411000</v>
      </c>
      <c r="V183" s="138">
        <v>8457343844000</v>
      </c>
      <c r="W183" s="138">
        <v>9231870044000</v>
      </c>
      <c r="X183" s="138">
        <v>9081613256000</v>
      </c>
      <c r="Y183" s="29"/>
      <c r="Z183" s="57" t="s">
        <v>178</v>
      </c>
    </row>
    <row r="184" spans="2:26" ht="18">
      <c r="B184" s="78"/>
      <c r="C184" s="65" t="s">
        <v>55</v>
      </c>
      <c r="D184" s="91"/>
      <c r="E184" s="138">
        <v>6332144641000</v>
      </c>
      <c r="F184" s="138">
        <v>6750008950000</v>
      </c>
      <c r="G184" s="138">
        <v>7506522343000</v>
      </c>
      <c r="H184" s="138">
        <v>7194812237000</v>
      </c>
      <c r="I184" s="138">
        <v>7419666167000</v>
      </c>
      <c r="J184" s="126">
        <v>8384055379000</v>
      </c>
      <c r="K184" s="138">
        <v>7898816829000</v>
      </c>
      <c r="L184" s="126">
        <v>8990774908000</v>
      </c>
      <c r="M184" s="138">
        <v>8938917710000</v>
      </c>
      <c r="N184" s="138">
        <v>8614383446000</v>
      </c>
      <c r="O184" s="138">
        <v>9179974770000</v>
      </c>
      <c r="P184" s="126">
        <v>8509053908000</v>
      </c>
      <c r="Q184" s="138">
        <v>9767752957000</v>
      </c>
      <c r="R184" s="138">
        <v>9751188767000</v>
      </c>
      <c r="S184" s="138">
        <v>10134236755000</v>
      </c>
      <c r="T184" s="138">
        <v>10582559894000</v>
      </c>
      <c r="U184" s="138">
        <v>11064727791000</v>
      </c>
      <c r="V184" s="138">
        <v>10109405525000</v>
      </c>
      <c r="W184" s="138">
        <v>11317668546000</v>
      </c>
      <c r="X184" s="138">
        <v>11553132295000</v>
      </c>
      <c r="Y184" s="29"/>
      <c r="Z184" s="58" t="s">
        <v>175</v>
      </c>
    </row>
    <row r="185" spans="2:26" ht="18">
      <c r="B185" s="78">
        <v>29</v>
      </c>
      <c r="C185" s="65" t="s">
        <v>193</v>
      </c>
      <c r="D185" s="91"/>
      <c r="E185" s="138"/>
      <c r="F185" s="138">
        <v>2019</v>
      </c>
      <c r="G185" s="138"/>
      <c r="H185" s="138"/>
      <c r="I185" s="138"/>
      <c r="J185" s="126">
        <v>2020</v>
      </c>
      <c r="K185" s="138"/>
      <c r="L185" s="126"/>
      <c r="M185" s="138"/>
      <c r="N185" s="138">
        <v>2021</v>
      </c>
      <c r="O185" s="138"/>
      <c r="P185" s="126"/>
      <c r="Q185" s="138"/>
      <c r="R185" s="138">
        <v>2022</v>
      </c>
      <c r="S185" s="138"/>
      <c r="T185" s="138"/>
      <c r="U185" s="138"/>
      <c r="V185" s="138">
        <v>2023</v>
      </c>
      <c r="W185" s="138"/>
      <c r="X185" s="138"/>
      <c r="Y185" s="29"/>
      <c r="Z185" s="58"/>
    </row>
    <row r="186" spans="2:26">
      <c r="B186" s="78"/>
      <c r="C186" s="65" t="s">
        <v>58</v>
      </c>
      <c r="D186" s="91"/>
      <c r="E186" s="138">
        <v>512028</v>
      </c>
      <c r="F186" s="138">
        <v>479221</v>
      </c>
      <c r="G186" s="138">
        <v>472745</v>
      </c>
      <c r="H186" s="138">
        <v>566337</v>
      </c>
      <c r="I186" s="138">
        <v>470689</v>
      </c>
      <c r="J186" s="138">
        <v>55408</v>
      </c>
      <c r="K186" s="138">
        <v>565892</v>
      </c>
      <c r="L186" s="138">
        <v>613741</v>
      </c>
      <c r="M186" s="138">
        <v>47451</v>
      </c>
      <c r="N186" s="138">
        <v>48235</v>
      </c>
      <c r="O186" s="138">
        <v>384113</v>
      </c>
      <c r="P186" s="126">
        <v>511539</v>
      </c>
      <c r="Q186" s="126">
        <v>490737</v>
      </c>
      <c r="R186" s="138">
        <v>448654</v>
      </c>
      <c r="S186" s="126">
        <v>426998</v>
      </c>
      <c r="T186" s="126">
        <v>497523</v>
      </c>
      <c r="U186" s="126">
        <v>534404</v>
      </c>
      <c r="V186" s="138">
        <v>477837</v>
      </c>
      <c r="W186" s="126">
        <v>556853</v>
      </c>
      <c r="X186" s="126">
        <v>598879</v>
      </c>
      <c r="Y186" s="8"/>
      <c r="Z186" s="58"/>
    </row>
    <row r="187" spans="2:26">
      <c r="B187" s="78"/>
      <c r="C187" s="65" t="s">
        <v>59</v>
      </c>
      <c r="D187" s="91"/>
      <c r="E187" s="138">
        <v>274692</v>
      </c>
      <c r="F187" s="138">
        <v>493866</v>
      </c>
      <c r="G187" s="138">
        <v>477311</v>
      </c>
      <c r="H187" s="138">
        <v>570058</v>
      </c>
      <c r="I187" s="138">
        <v>467475</v>
      </c>
      <c r="J187" s="138">
        <v>47194</v>
      </c>
      <c r="K187" s="138">
        <v>528094</v>
      </c>
      <c r="L187" s="138">
        <v>636601</v>
      </c>
      <c r="M187" s="138">
        <v>515053</v>
      </c>
      <c r="N187" s="138">
        <v>552442</v>
      </c>
      <c r="O187" s="138">
        <v>520049</v>
      </c>
      <c r="P187" s="126">
        <v>624233</v>
      </c>
      <c r="Q187" s="126">
        <v>586653</v>
      </c>
      <c r="R187" s="138">
        <v>525242</v>
      </c>
      <c r="S187" s="126">
        <v>498921</v>
      </c>
      <c r="T187" s="126">
        <v>575966</v>
      </c>
      <c r="U187" s="126">
        <v>541594</v>
      </c>
      <c r="V187" s="138">
        <v>510211</v>
      </c>
      <c r="W187" s="126">
        <v>596318</v>
      </c>
      <c r="X187" s="126">
        <v>613068</v>
      </c>
      <c r="Y187" s="8"/>
      <c r="Z187" s="58"/>
    </row>
    <row r="188" spans="2:26" ht="17">
      <c r="B188" s="78"/>
      <c r="C188" s="94" t="s">
        <v>57</v>
      </c>
      <c r="D188" s="91"/>
      <c r="E188" s="138">
        <v>628426</v>
      </c>
      <c r="F188" s="138">
        <v>451271</v>
      </c>
      <c r="G188" s="138">
        <v>472715</v>
      </c>
      <c r="H188" s="138">
        <v>488483</v>
      </c>
      <c r="I188" s="138">
        <v>606725</v>
      </c>
      <c r="J188" s="126">
        <v>210275</v>
      </c>
      <c r="K188" s="138">
        <v>245703</v>
      </c>
      <c r="L188" s="138">
        <v>322061</v>
      </c>
      <c r="M188" s="138">
        <v>430335</v>
      </c>
      <c r="N188" s="138">
        <v>345759</v>
      </c>
      <c r="O188" s="138">
        <v>457627</v>
      </c>
      <c r="P188" s="126">
        <v>471981</v>
      </c>
      <c r="Q188" s="126">
        <v>594929</v>
      </c>
      <c r="R188" s="138">
        <v>450785</v>
      </c>
      <c r="S188" s="126">
        <v>464919</v>
      </c>
      <c r="T188" s="126">
        <v>434145</v>
      </c>
      <c r="U188" s="138">
        <v>514333</v>
      </c>
      <c r="V188" s="138">
        <v>383257</v>
      </c>
      <c r="W188" s="126">
        <v>435344</v>
      </c>
      <c r="X188" s="126">
        <v>454063</v>
      </c>
      <c r="Y188" s="8"/>
      <c r="Z188" s="58"/>
    </row>
    <row r="189" spans="2:26">
      <c r="B189" s="78"/>
      <c r="C189" s="65" t="s">
        <v>56</v>
      </c>
      <c r="D189" s="91"/>
      <c r="E189" s="138">
        <v>1086627</v>
      </c>
      <c r="F189" s="138">
        <v>2126687</v>
      </c>
      <c r="G189" s="138">
        <v>2052607</v>
      </c>
      <c r="H189" s="138">
        <v>2077914</v>
      </c>
      <c r="I189" s="138">
        <v>1790739</v>
      </c>
      <c r="J189" s="138">
        <v>1799184</v>
      </c>
      <c r="K189" s="138">
        <v>1687444</v>
      </c>
      <c r="L189" s="138">
        <v>1672071</v>
      </c>
      <c r="M189" s="138">
        <v>1458457</v>
      </c>
      <c r="N189" s="138">
        <v>1406739</v>
      </c>
      <c r="O189" s="138">
        <v>1250380</v>
      </c>
      <c r="P189" s="126">
        <v>1324128</v>
      </c>
      <c r="Q189" s="126">
        <v>1259454</v>
      </c>
      <c r="R189" s="138">
        <v>1230584</v>
      </c>
      <c r="S189" s="126">
        <v>1162955</v>
      </c>
      <c r="T189" s="126">
        <v>1220971</v>
      </c>
      <c r="U189" s="126">
        <v>1398325</v>
      </c>
      <c r="V189" s="138">
        <v>1353701</v>
      </c>
      <c r="W189" s="126">
        <v>1452033</v>
      </c>
      <c r="X189" s="126">
        <v>1467758</v>
      </c>
      <c r="Y189" s="8"/>
      <c r="Z189" s="58"/>
    </row>
    <row r="190" spans="2:26">
      <c r="B190" s="78"/>
      <c r="C190" s="65" t="s">
        <v>55</v>
      </c>
      <c r="D190" s="91"/>
      <c r="E190" s="138">
        <v>501449</v>
      </c>
      <c r="F190" s="138">
        <v>1560940</v>
      </c>
      <c r="G190" s="138">
        <v>1494143</v>
      </c>
      <c r="H190" s="138">
        <v>1528912</v>
      </c>
      <c r="I190" s="138">
        <v>1384437</v>
      </c>
      <c r="J190" s="138">
        <v>1544970</v>
      </c>
      <c r="K190" s="138">
        <v>1538568</v>
      </c>
      <c r="L190" s="138">
        <v>1611251</v>
      </c>
      <c r="M190" s="138">
        <v>1448768</v>
      </c>
      <c r="N190" s="138">
        <v>1442418</v>
      </c>
      <c r="O190" s="138">
        <v>1273874</v>
      </c>
      <c r="P190" s="126">
        <v>1332297</v>
      </c>
      <c r="Q190" s="126">
        <v>1258146</v>
      </c>
      <c r="R190" s="138">
        <v>1240687</v>
      </c>
      <c r="S190" s="126">
        <v>1163468</v>
      </c>
      <c r="T190" s="126">
        <v>1253372</v>
      </c>
      <c r="U190" s="126">
        <v>1090756</v>
      </c>
      <c r="V190" s="138">
        <v>1118042</v>
      </c>
      <c r="W190" s="126">
        <v>1266117</v>
      </c>
      <c r="X190" s="126">
        <v>1319803</v>
      </c>
      <c r="Y190" s="8"/>
      <c r="Z190" s="58"/>
    </row>
    <row r="191" spans="2:26" ht="18">
      <c r="B191" s="78">
        <v>30</v>
      </c>
      <c r="C191" s="65" t="s">
        <v>194</v>
      </c>
      <c r="D191" s="91"/>
      <c r="E191" s="138"/>
      <c r="F191" s="138"/>
      <c r="G191" s="138"/>
      <c r="H191" s="138"/>
      <c r="I191" s="138"/>
      <c r="J191" s="126"/>
      <c r="K191" s="138"/>
      <c r="L191" s="126"/>
      <c r="M191" s="138"/>
      <c r="N191" s="138"/>
      <c r="O191" s="138"/>
      <c r="P191" s="126"/>
      <c r="Q191" s="138"/>
      <c r="R191" s="138"/>
      <c r="S191" s="138"/>
      <c r="T191" s="138"/>
      <c r="U191" s="138"/>
      <c r="V191" s="138"/>
      <c r="W191" s="138"/>
      <c r="X191" s="138"/>
      <c r="Y191" s="29"/>
      <c r="Z191" s="58"/>
    </row>
    <row r="192" spans="2:26" ht="18">
      <c r="B192" s="78"/>
      <c r="C192" s="65" t="s">
        <v>58</v>
      </c>
      <c r="D192" s="91"/>
      <c r="E192" s="139">
        <v>427380</v>
      </c>
      <c r="F192" s="139">
        <v>352547</v>
      </c>
      <c r="G192" s="139">
        <v>370174</v>
      </c>
      <c r="H192" s="139">
        <v>380489</v>
      </c>
      <c r="I192" s="139">
        <v>363934</v>
      </c>
      <c r="J192" s="139">
        <v>319118</v>
      </c>
      <c r="K192" s="138">
        <v>327929</v>
      </c>
      <c r="L192" s="139">
        <v>346968</v>
      </c>
      <c r="M192" s="139">
        <v>361898</v>
      </c>
      <c r="N192" s="139">
        <v>361224</v>
      </c>
      <c r="O192" s="139">
        <v>347004</v>
      </c>
      <c r="P192" s="139">
        <v>355471</v>
      </c>
      <c r="Q192" s="139">
        <v>366564</v>
      </c>
      <c r="R192" s="139">
        <v>339569</v>
      </c>
      <c r="S192" s="139">
        <v>354647</v>
      </c>
      <c r="T192" s="139">
        <v>336276</v>
      </c>
      <c r="U192" s="139">
        <v>384520</v>
      </c>
      <c r="V192" s="139">
        <v>373872</v>
      </c>
      <c r="W192" s="139">
        <v>348880</v>
      </c>
      <c r="X192" s="139">
        <v>358881</v>
      </c>
      <c r="Y192" s="41"/>
      <c r="Z192" s="58"/>
    </row>
    <row r="193" spans="2:31" ht="18">
      <c r="B193" s="78"/>
      <c r="C193" s="65" t="s">
        <v>59</v>
      </c>
      <c r="D193" s="91"/>
      <c r="E193" s="139">
        <v>317428</v>
      </c>
      <c r="F193" s="139">
        <v>242154</v>
      </c>
      <c r="G193" s="139">
        <v>272432</v>
      </c>
      <c r="H193" s="139">
        <v>253832</v>
      </c>
      <c r="I193" s="139">
        <v>234885</v>
      </c>
      <c r="J193" s="139">
        <v>187161</v>
      </c>
      <c r="K193" s="138">
        <v>197987</v>
      </c>
      <c r="L193" s="139">
        <v>198408</v>
      </c>
      <c r="M193" s="139">
        <v>19139</v>
      </c>
      <c r="N193" s="139">
        <v>177895</v>
      </c>
      <c r="O193" s="139">
        <v>176703</v>
      </c>
      <c r="P193" s="139">
        <v>180008</v>
      </c>
      <c r="Q193" s="139">
        <v>205195</v>
      </c>
      <c r="R193" s="139">
        <v>813470</v>
      </c>
      <c r="S193" s="139">
        <v>827703</v>
      </c>
      <c r="T193" s="139">
        <v>805327</v>
      </c>
      <c r="U193" s="139">
        <v>831537</v>
      </c>
      <c r="V193" s="139">
        <v>823656</v>
      </c>
      <c r="W193" s="139">
        <v>819288</v>
      </c>
      <c r="X193" s="139">
        <v>865351</v>
      </c>
      <c r="Y193" s="41"/>
      <c r="Z193" s="58"/>
    </row>
    <row r="194" spans="2:31" ht="18">
      <c r="B194" s="78"/>
      <c r="C194" s="94" t="s">
        <v>57</v>
      </c>
      <c r="D194" s="91"/>
      <c r="E194" s="139">
        <v>136327</v>
      </c>
      <c r="F194" s="139">
        <v>142924</v>
      </c>
      <c r="G194" s="139">
        <v>144275</v>
      </c>
      <c r="H194" s="139">
        <v>147233</v>
      </c>
      <c r="I194" s="139">
        <v>146183</v>
      </c>
      <c r="J194" s="139">
        <v>137876</v>
      </c>
      <c r="K194" s="138">
        <v>111312</v>
      </c>
      <c r="L194" s="139">
        <v>154305</v>
      </c>
      <c r="M194" s="139">
        <v>222116</v>
      </c>
      <c r="N194" s="139">
        <v>290053</v>
      </c>
      <c r="O194" s="139">
        <v>246322</v>
      </c>
      <c r="P194" s="139">
        <v>191736</v>
      </c>
      <c r="Q194" s="139">
        <v>266827</v>
      </c>
      <c r="R194" s="139">
        <v>286253</v>
      </c>
      <c r="S194" s="140">
        <v>114924</v>
      </c>
      <c r="T194" s="139">
        <v>257904</v>
      </c>
      <c r="U194" s="138">
        <f>1050146-SUM(R194:T194)</f>
        <v>391065</v>
      </c>
      <c r="V194" s="139">
        <v>242761</v>
      </c>
      <c r="W194" s="139">
        <v>11843</v>
      </c>
      <c r="X194" s="139">
        <v>119228</v>
      </c>
      <c r="Y194" s="41"/>
      <c r="Z194" s="58"/>
    </row>
    <row r="195" spans="2:31" ht="18">
      <c r="B195" s="78"/>
      <c r="C195" s="65" t="s">
        <v>56</v>
      </c>
      <c r="D195" s="91"/>
      <c r="E195" s="139">
        <v>1610947</v>
      </c>
      <c r="F195" s="139">
        <v>1580992</v>
      </c>
      <c r="G195" s="139">
        <v>1622503</v>
      </c>
      <c r="H195" s="139">
        <v>1605339</v>
      </c>
      <c r="I195" s="139">
        <v>1591619</v>
      </c>
      <c r="J195" s="139">
        <v>1503610</v>
      </c>
      <c r="K195" s="138">
        <v>1515976</v>
      </c>
      <c r="L195" s="139">
        <v>1550550</v>
      </c>
      <c r="M195" s="139">
        <v>1569853</v>
      </c>
      <c r="N195" s="139">
        <v>1566283</v>
      </c>
      <c r="O195" s="139">
        <v>1546224</v>
      </c>
      <c r="P195" s="139">
        <v>1549832</v>
      </c>
      <c r="Q195" s="139">
        <v>1573249</v>
      </c>
      <c r="R195" s="139">
        <v>1560019</v>
      </c>
      <c r="S195" s="139">
        <v>1547444</v>
      </c>
      <c r="T195" s="139">
        <v>1504938</v>
      </c>
      <c r="U195" s="139">
        <v>1537555</v>
      </c>
      <c r="V195" s="139">
        <v>1541550</v>
      </c>
      <c r="W195" s="139">
        <v>1540508</v>
      </c>
      <c r="X195" s="139">
        <v>1561991</v>
      </c>
      <c r="Y195" s="41"/>
      <c r="Z195" s="58"/>
    </row>
    <row r="196" spans="2:31" ht="18">
      <c r="B196" s="78"/>
      <c r="C196" s="65" t="s">
        <v>55</v>
      </c>
      <c r="D196" s="91"/>
      <c r="E196" s="139">
        <v>1066510</v>
      </c>
      <c r="F196" s="139">
        <v>1011944</v>
      </c>
      <c r="G196" s="139">
        <v>1034950</v>
      </c>
      <c r="H196" s="139">
        <v>1022023</v>
      </c>
      <c r="I196" s="139">
        <v>992174</v>
      </c>
      <c r="J196" s="139">
        <v>931894</v>
      </c>
      <c r="K196" s="138">
        <v>926450</v>
      </c>
      <c r="L196" s="139">
        <v>919980</v>
      </c>
      <c r="M196" s="139">
        <v>909749</v>
      </c>
      <c r="N196" s="139">
        <v>889774</v>
      </c>
      <c r="O196" s="139">
        <v>864421</v>
      </c>
      <c r="P196" s="139">
        <v>858128</v>
      </c>
      <c r="Q196" s="139">
        <v>873695</v>
      </c>
      <c r="R196" s="139">
        <v>854760</v>
      </c>
      <c r="S196" s="139">
        <v>868054</v>
      </c>
      <c r="T196" s="139">
        <v>844912</v>
      </c>
      <c r="U196" s="139">
        <v>878115</v>
      </c>
      <c r="V196" s="139">
        <v>867644</v>
      </c>
      <c r="W196" s="139">
        <v>863651</v>
      </c>
      <c r="X196" s="139">
        <v>910447</v>
      </c>
      <c r="Y196" s="41"/>
      <c r="Z196" s="58"/>
    </row>
    <row r="197" spans="2:31" ht="18">
      <c r="E197" s="116"/>
      <c r="F197" s="116"/>
      <c r="G197" s="116"/>
      <c r="H197" s="116"/>
      <c r="I197" s="116"/>
      <c r="K197" s="116"/>
      <c r="M197" s="116"/>
      <c r="N197" s="116"/>
      <c r="O197" s="116"/>
      <c r="P197" s="115"/>
      <c r="Q197" s="116"/>
      <c r="R197" s="116"/>
      <c r="S197" s="116"/>
      <c r="T197" s="116"/>
      <c r="U197" s="116"/>
      <c r="V197" s="116"/>
      <c r="W197" s="116"/>
      <c r="X197" s="116"/>
      <c r="Y197" s="56"/>
      <c r="Z197" s="58"/>
    </row>
    <row r="198" spans="2:31">
      <c r="E198" s="117"/>
      <c r="F198" s="117"/>
      <c r="G198" s="117"/>
      <c r="H198" s="118"/>
      <c r="I198" s="118"/>
      <c r="J198" s="118"/>
      <c r="K198" s="118"/>
      <c r="L198" s="118"/>
      <c r="M198" s="117"/>
      <c r="N198" s="117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Z198" s="58" t="s">
        <v>176</v>
      </c>
    </row>
    <row r="199" spans="2:31">
      <c r="B199" s="92" t="s">
        <v>0</v>
      </c>
      <c r="C199" s="93" t="s">
        <v>1</v>
      </c>
      <c r="D199" s="95" t="s">
        <v>2</v>
      </c>
      <c r="E199" s="167">
        <v>2019</v>
      </c>
      <c r="F199" s="168"/>
      <c r="G199" s="168"/>
      <c r="H199" s="168"/>
      <c r="I199" s="167">
        <v>2020</v>
      </c>
      <c r="J199" s="168"/>
      <c r="K199" s="168"/>
      <c r="L199" s="168"/>
      <c r="M199" s="167">
        <v>2021</v>
      </c>
      <c r="N199" s="168"/>
      <c r="O199" s="168"/>
      <c r="P199" s="168"/>
      <c r="Q199" s="167">
        <v>2022</v>
      </c>
      <c r="R199" s="168"/>
      <c r="S199" s="168"/>
      <c r="T199" s="168"/>
      <c r="U199" s="167">
        <v>2023</v>
      </c>
      <c r="V199" s="168"/>
      <c r="W199" s="168"/>
      <c r="X199" s="168"/>
      <c r="Z199" s="58" t="s">
        <v>177</v>
      </c>
    </row>
    <row r="200" spans="2:31" hidden="1">
      <c r="B200" s="78"/>
      <c r="C200" s="65"/>
      <c r="D200" s="91"/>
      <c r="E200" s="170">
        <v>2019</v>
      </c>
      <c r="F200" s="170"/>
      <c r="G200" s="170"/>
      <c r="H200" s="170"/>
      <c r="I200" s="170">
        <v>2020</v>
      </c>
      <c r="J200" s="170"/>
      <c r="K200" s="170"/>
      <c r="L200" s="170"/>
      <c r="M200" s="170">
        <v>2021</v>
      </c>
      <c r="N200" s="170"/>
      <c r="O200" s="170"/>
      <c r="P200" s="170"/>
      <c r="Q200" s="170">
        <v>2022</v>
      </c>
      <c r="R200" s="170"/>
      <c r="S200" s="170"/>
      <c r="T200" s="170"/>
      <c r="U200" s="170">
        <v>2023</v>
      </c>
      <c r="V200" s="170"/>
      <c r="W200" s="170"/>
      <c r="X200" s="170"/>
      <c r="Y200" s="46"/>
    </row>
    <row r="201" spans="2:31">
      <c r="B201" s="78"/>
      <c r="C201" s="65"/>
      <c r="D201" s="91"/>
      <c r="E201" s="119" t="s">
        <v>5</v>
      </c>
      <c r="F201" s="119" t="s">
        <v>6</v>
      </c>
      <c r="G201" s="119" t="s">
        <v>7</v>
      </c>
      <c r="H201" s="119" t="s">
        <v>8</v>
      </c>
      <c r="I201" s="119" t="s">
        <v>5</v>
      </c>
      <c r="J201" s="119" t="s">
        <v>6</v>
      </c>
      <c r="K201" s="119" t="s">
        <v>7</v>
      </c>
      <c r="L201" s="119" t="s">
        <v>8</v>
      </c>
      <c r="M201" s="119" t="s">
        <v>5</v>
      </c>
      <c r="N201" s="119" t="s">
        <v>6</v>
      </c>
      <c r="O201" s="119" t="s">
        <v>7</v>
      </c>
      <c r="P201" s="119" t="s">
        <v>8</v>
      </c>
      <c r="Q201" s="119" t="s">
        <v>5</v>
      </c>
      <c r="R201" s="119" t="s">
        <v>6</v>
      </c>
      <c r="S201" s="119" t="s">
        <v>7</v>
      </c>
      <c r="T201" s="119" t="s">
        <v>8</v>
      </c>
      <c r="U201" s="119" t="s">
        <v>5</v>
      </c>
      <c r="V201" s="119" t="s">
        <v>6</v>
      </c>
      <c r="W201" s="119" t="s">
        <v>7</v>
      </c>
      <c r="X201" s="119" t="s">
        <v>8</v>
      </c>
    </row>
    <row r="202" spans="2:31" ht="17">
      <c r="B202" s="78">
        <v>1</v>
      </c>
      <c r="C202" s="63" t="str">
        <f>C5</f>
        <v>BARAMULTI SUKSESSARANA TBK</v>
      </c>
      <c r="D202" s="68" t="str">
        <f>D5</f>
        <v>BRRS</v>
      </c>
      <c r="E202" s="120">
        <f t="shared" ref="E202:X202" si="0">E6/E7</f>
        <v>1.0266575439571217</v>
      </c>
      <c r="F202" s="120">
        <f t="shared" si="0"/>
        <v>1.2443467465685274</v>
      </c>
      <c r="G202" s="120">
        <f t="shared" si="0"/>
        <v>1.2443467465685274</v>
      </c>
      <c r="H202" s="120">
        <f t="shared" si="0"/>
        <v>1.2065316093207819</v>
      </c>
      <c r="I202" s="120">
        <f t="shared" si="0"/>
        <v>1.3402355102947019</v>
      </c>
      <c r="J202" s="120">
        <f t="shared" si="0"/>
        <v>1.3402355102947019</v>
      </c>
      <c r="K202" s="120">
        <f t="shared" si="0"/>
        <v>1.5404198870224792</v>
      </c>
      <c r="L202" s="120">
        <f t="shared" si="0"/>
        <v>1.5770248017352133</v>
      </c>
      <c r="M202" s="120">
        <f t="shared" si="0"/>
        <v>1.8033659554133226</v>
      </c>
      <c r="N202" s="120">
        <f t="shared" si="0"/>
        <v>1.6020219442147861</v>
      </c>
      <c r="O202" s="120">
        <f t="shared" si="0"/>
        <v>1.6043630395354844</v>
      </c>
      <c r="P202" s="120">
        <f t="shared" si="0"/>
        <v>1.6016808311280986</v>
      </c>
      <c r="Q202" s="120">
        <f t="shared" si="0"/>
        <v>2.3415318762229385</v>
      </c>
      <c r="R202" s="120">
        <f t="shared" si="0"/>
        <v>2.3415318762229385</v>
      </c>
      <c r="S202" s="120">
        <f t="shared" si="0"/>
        <v>1.8354238622565315</v>
      </c>
      <c r="T202" s="120">
        <f t="shared" si="0"/>
        <v>1.2452316166193158</v>
      </c>
      <c r="U202" s="120">
        <f t="shared" si="0"/>
        <v>1.4469960261653065</v>
      </c>
      <c r="V202" s="120">
        <f t="shared" si="0"/>
        <v>1.4256064816348186</v>
      </c>
      <c r="W202" s="120">
        <f t="shared" si="0"/>
        <v>1.1815403972806753</v>
      </c>
      <c r="X202" s="120">
        <f t="shared" si="0"/>
        <v>1.3793163757236377</v>
      </c>
      <c r="Y202" s="60"/>
      <c r="Z202" s="45" t="s">
        <v>171</v>
      </c>
      <c r="AA202" s="45" t="s">
        <v>173</v>
      </c>
      <c r="AB202" s="45" t="s">
        <v>172</v>
      </c>
      <c r="AC202" s="45" t="s">
        <v>174</v>
      </c>
      <c r="AD202" s="45" t="s">
        <v>180</v>
      </c>
      <c r="AE202" s="45" t="s">
        <v>195</v>
      </c>
    </row>
    <row r="203" spans="2:31" ht="17">
      <c r="B203" s="78">
        <v>2</v>
      </c>
      <c r="C203" s="94" t="str">
        <f>C11</f>
        <v>INDUSTRI JAMU &amp; FARMASI SIDO MUNCUL</v>
      </c>
      <c r="D203" s="68" t="str">
        <f>D11</f>
        <v>SIDO</v>
      </c>
      <c r="E203" s="120">
        <f t="shared" ref="E203:X203" si="1">E12/E13</f>
        <v>5.0203186505349082</v>
      </c>
      <c r="F203" s="120">
        <f t="shared" si="1"/>
        <v>5.6427181367397621</v>
      </c>
      <c r="G203" s="120">
        <f t="shared" si="1"/>
        <v>4.1975077653043753</v>
      </c>
      <c r="H203" s="120">
        <f t="shared" si="1"/>
        <v>4.1975077653043753</v>
      </c>
      <c r="I203" s="120">
        <f t="shared" si="1"/>
        <v>5.0312441147544416</v>
      </c>
      <c r="J203" s="120">
        <f t="shared" si="1"/>
        <v>5.5004475486096593</v>
      </c>
      <c r="K203" s="120">
        <f t="shared" si="1"/>
        <v>5.8874120693771852</v>
      </c>
      <c r="L203" s="120">
        <f t="shared" si="1"/>
        <v>3.6641490028444244</v>
      </c>
      <c r="M203" s="120">
        <f t="shared" si="1"/>
        <v>2.197236841974378</v>
      </c>
      <c r="N203" s="120">
        <f t="shared" si="1"/>
        <v>5.1192821297950157</v>
      </c>
      <c r="O203" s="120">
        <f t="shared" si="1"/>
        <v>3.6404954542154231</v>
      </c>
      <c r="P203" s="120">
        <f t="shared" si="1"/>
        <v>4.1310837918913448</v>
      </c>
      <c r="Q203" s="120">
        <f t="shared" si="1"/>
        <v>2.1419516357968251</v>
      </c>
      <c r="R203" s="120">
        <f t="shared" si="1"/>
        <v>6.2134805774878226</v>
      </c>
      <c r="S203" s="120">
        <f t="shared" si="1"/>
        <v>6.8660795464076632</v>
      </c>
      <c r="T203" s="120">
        <f t="shared" si="1"/>
        <v>4.0555403587112417</v>
      </c>
      <c r="U203" s="120">
        <f t="shared" si="1"/>
        <v>2.211476510948549</v>
      </c>
      <c r="V203" s="120">
        <f t="shared" si="1"/>
        <v>6.6293676753270914</v>
      </c>
      <c r="W203" s="120">
        <f t="shared" si="1"/>
        <v>6.2460492750283896</v>
      </c>
      <c r="X203" s="120">
        <f t="shared" si="1"/>
        <v>4.4737314899595004</v>
      </c>
      <c r="Y203" s="60"/>
      <c r="Z203" s="45" t="s">
        <v>179</v>
      </c>
      <c r="AA203" s="54">
        <f>MIN(E202:X231)</f>
        <v>2.1358264622076482E-2</v>
      </c>
      <c r="AB203" s="45">
        <f>MAX(E202:X231)</f>
        <v>49.669061331116787</v>
      </c>
      <c r="AC203" s="45">
        <f>AVERAGE(E202:X231)</f>
        <v>2.2269125533745489</v>
      </c>
      <c r="AD203" s="45">
        <f>MEDIAN(E202:X231)</f>
        <v>1.4191862193854512</v>
      </c>
      <c r="AE203" s="45">
        <f>STDEV(E202:X231)</f>
        <v>2.9196998189678709</v>
      </c>
    </row>
    <row r="204" spans="2:31" ht="17">
      <c r="B204" s="78">
        <v>3</v>
      </c>
      <c r="C204" s="94" t="str">
        <f>C17</f>
        <v xml:space="preserve">Siantar Top Tbk </v>
      </c>
      <c r="D204" s="68" t="str">
        <f>D17</f>
        <v>STTP</v>
      </c>
      <c r="E204" s="120">
        <f t="shared" ref="E204:X204" si="2">E18/E19</f>
        <v>1.6844639243108814</v>
      </c>
      <c r="F204" s="120">
        <f t="shared" si="2"/>
        <v>2.5621816569893801</v>
      </c>
      <c r="G204" s="120">
        <f t="shared" si="2"/>
        <v>2.8435212464698401</v>
      </c>
      <c r="H204" s="120">
        <f t="shared" si="2"/>
        <v>2.852957797502842</v>
      </c>
      <c r="I204" s="120">
        <f t="shared" si="2"/>
        <v>3.0181271707874293</v>
      </c>
      <c r="J204" s="120">
        <f t="shared" si="2"/>
        <v>3.4067370194926689</v>
      </c>
      <c r="K204" s="120">
        <f t="shared" si="2"/>
        <v>3.086633512088119</v>
      </c>
      <c r="L204" s="120">
        <f t="shared" si="2"/>
        <v>2.4050435658572842</v>
      </c>
      <c r="M204" s="120">
        <f t="shared" si="2"/>
        <v>2.3817609130482964</v>
      </c>
      <c r="N204" s="120">
        <f t="shared" si="2"/>
        <v>4.2241256006395362</v>
      </c>
      <c r="O204" s="120">
        <f t="shared" si="2"/>
        <v>4.0205800048983429</v>
      </c>
      <c r="P204" s="120">
        <f t="shared" si="2"/>
        <v>4.1648527073455508</v>
      </c>
      <c r="Q204" s="120">
        <f t="shared" si="2"/>
        <v>4.1231352455394141</v>
      </c>
      <c r="R204" s="120">
        <f t="shared" si="2"/>
        <v>5.1877577737707918</v>
      </c>
      <c r="S204" s="120">
        <f t="shared" si="2"/>
        <v>4.6837225997371306</v>
      </c>
      <c r="T204" s="120">
        <f t="shared" si="2"/>
        <v>4.8528735034640125</v>
      </c>
      <c r="U204" s="120">
        <f t="shared" si="2"/>
        <v>5.4110424968717554</v>
      </c>
      <c r="V204" s="120">
        <f t="shared" si="2"/>
        <v>6.5234163880549154</v>
      </c>
      <c r="W204" s="120">
        <f t="shared" si="2"/>
        <v>6.5709955311279131</v>
      </c>
      <c r="X204" s="120">
        <f t="shared" si="2"/>
        <v>6.954331055585155</v>
      </c>
      <c r="Y204" s="60"/>
      <c r="Z204" s="45" t="s">
        <v>183</v>
      </c>
      <c r="AA204" s="54">
        <f>MIN(E238:X267)</f>
        <v>-2.63242376778505E-4</v>
      </c>
      <c r="AB204" s="45">
        <f>MAX(E238:X267)</f>
        <v>0.99429704919272099</v>
      </c>
      <c r="AC204" s="45">
        <f>AVERAGE(E238:X267)</f>
        <v>0.17315691646738374</v>
      </c>
      <c r="AD204" s="45">
        <f>MEDIAN(E238:X267)</f>
        <v>0.15411018576989235</v>
      </c>
      <c r="AE204" s="45">
        <f>STDEV(E238:X267)</f>
        <v>0.13317257616549874</v>
      </c>
    </row>
    <row r="205" spans="2:31" ht="17">
      <c r="B205" s="78">
        <v>4</v>
      </c>
      <c r="C205" s="94" t="str">
        <f>C23</f>
        <v>Akasha Wira International Tbk</v>
      </c>
      <c r="D205" s="68" t="str">
        <f>D23</f>
        <v>ADES</v>
      </c>
      <c r="E205" s="120">
        <f t="shared" ref="E205:X205" si="3">E24/E25</f>
        <v>1.4338779383153126</v>
      </c>
      <c r="F205" s="120">
        <f t="shared" si="3"/>
        <v>1.4522267206477733</v>
      </c>
      <c r="G205" s="120">
        <f t="shared" si="3"/>
        <v>2.0042125451649913</v>
      </c>
      <c r="H205" s="120">
        <f t="shared" si="3"/>
        <v>2.0042125451649913</v>
      </c>
      <c r="I205" s="120">
        <f t="shared" si="3"/>
        <v>2.0443751679656006</v>
      </c>
      <c r="J205" s="120">
        <f t="shared" si="3"/>
        <v>0.27097061377584158</v>
      </c>
      <c r="K205" s="120">
        <f t="shared" si="3"/>
        <v>2.7107309846766352</v>
      </c>
      <c r="L205" s="120">
        <f t="shared" si="3"/>
        <v>2.9703746479333621</v>
      </c>
      <c r="M205" s="120">
        <f t="shared" si="3"/>
        <v>3.1228920303131247</v>
      </c>
      <c r="N205" s="120">
        <f t="shared" si="3"/>
        <v>3.0076796628887541</v>
      </c>
      <c r="O205" s="120">
        <f t="shared" si="3"/>
        <v>2.9114714967705702</v>
      </c>
      <c r="P205" s="120">
        <f t="shared" si="3"/>
        <v>2.509228034743467</v>
      </c>
      <c r="Q205" s="120">
        <f t="shared" si="3"/>
        <v>2.806097443247217</v>
      </c>
      <c r="R205" s="120">
        <f t="shared" si="3"/>
        <v>3.052444277954673</v>
      </c>
      <c r="S205" s="120">
        <f t="shared" si="3"/>
        <v>3.4222205693672252</v>
      </c>
      <c r="T205" s="120">
        <f t="shared" si="3"/>
        <v>3.2008566302474493</v>
      </c>
      <c r="U205" s="120">
        <f t="shared" si="3"/>
        <v>3.2633091228350226</v>
      </c>
      <c r="V205" s="120">
        <f t="shared" si="3"/>
        <v>3.7988057536922484</v>
      </c>
      <c r="W205" s="120">
        <f t="shared" si="3"/>
        <v>4.3433946436338777</v>
      </c>
      <c r="X205" s="120">
        <f t="shared" si="3"/>
        <v>4.1166411212326066</v>
      </c>
      <c r="Y205" s="60"/>
      <c r="Z205" s="45" t="s">
        <v>184</v>
      </c>
      <c r="AA205" s="54">
        <f>MIN(E274:X303)</f>
        <v>8.4224368401352011E-3</v>
      </c>
      <c r="AB205" s="45">
        <f>MAX(E274:X303)</f>
        <v>3.0332117091203483</v>
      </c>
      <c r="AC205" s="45">
        <f>AVERAGE(E274:X303)</f>
        <v>0.58074999708108854</v>
      </c>
      <c r="AD205" s="45">
        <f>MEDIAN(E274:X303)</f>
        <v>0.49375820498552636</v>
      </c>
      <c r="AE205" s="45">
        <f>STDEV(E274:X303)</f>
        <v>0.44440879967612262</v>
      </c>
    </row>
    <row r="206" spans="2:31" ht="17">
      <c r="B206" s="78">
        <v>5</v>
      </c>
      <c r="C206" s="94" t="str">
        <f>C29</f>
        <v>PT SELAMAT SEMPURNA Tbk</v>
      </c>
      <c r="D206" s="68" t="str">
        <f>D29</f>
        <v>SMSM</v>
      </c>
      <c r="E206" s="120">
        <f t="shared" ref="E206:X206" si="4">E30/E31</f>
        <v>4.0460018182695867</v>
      </c>
      <c r="F206" s="120">
        <f t="shared" si="4"/>
        <v>4.7970309159480173</v>
      </c>
      <c r="G206" s="120">
        <f t="shared" si="4"/>
        <v>4.7970309159480173</v>
      </c>
      <c r="H206" s="120">
        <f t="shared" si="4"/>
        <v>4.6365158112022762</v>
      </c>
      <c r="I206" s="120">
        <f t="shared" si="4"/>
        <v>3.9877185518209441</v>
      </c>
      <c r="J206" s="120">
        <f t="shared" si="4"/>
        <v>5.4170882704577465</v>
      </c>
      <c r="K206" s="120">
        <f t="shared" si="4"/>
        <v>6.2719559953191437</v>
      </c>
      <c r="L206" s="120">
        <f t="shared" si="4"/>
        <v>5.7605976023614929</v>
      </c>
      <c r="M206" s="120">
        <f t="shared" si="4"/>
        <v>4.425857930137262</v>
      </c>
      <c r="N206" s="120">
        <f t="shared" si="4"/>
        <v>3.5449851361247497</v>
      </c>
      <c r="O206" s="120">
        <f t="shared" si="4"/>
        <v>4.180826374480934</v>
      </c>
      <c r="P206" s="120">
        <f t="shared" si="4"/>
        <v>4.1752773673887358</v>
      </c>
      <c r="Q206" s="120">
        <f t="shared" si="4"/>
        <v>4.3701215111998772</v>
      </c>
      <c r="R206" s="120">
        <f t="shared" si="4"/>
        <v>4.3975284280461659</v>
      </c>
      <c r="S206" s="120">
        <f t="shared" si="4"/>
        <v>3.8821503963401649</v>
      </c>
      <c r="T206" s="120">
        <f t="shared" si="4"/>
        <v>4.4302079919181256</v>
      </c>
      <c r="U206" s="120">
        <f t="shared" si="4"/>
        <v>4.8853243258412027</v>
      </c>
      <c r="V206" s="120">
        <f t="shared" si="4"/>
        <v>5.2099038429322881</v>
      </c>
      <c r="W206" s="120">
        <f t="shared" si="4"/>
        <v>5.1227560349786598</v>
      </c>
      <c r="X206" s="120">
        <f t="shared" si="4"/>
        <v>5.1741079455815928</v>
      </c>
      <c r="Y206" s="60"/>
      <c r="Z206" s="45" t="s">
        <v>185</v>
      </c>
      <c r="AA206" s="54">
        <f>MIN(E202:X216)</f>
        <v>0.27097061377584158</v>
      </c>
      <c r="AB206" s="45">
        <f>MAX(E202:X216)</f>
        <v>49.669061331116787</v>
      </c>
      <c r="AC206" s="45">
        <f>AVERAGE(E202:X216)</f>
        <v>3.6454677062952516</v>
      </c>
      <c r="AD206" s="45">
        <f>MEDIAN(E202:X216)</f>
        <v>3.0129034168380917</v>
      </c>
      <c r="AE206" s="45">
        <f>STDEV(E202:X216)</f>
        <v>3.4209257487691982</v>
      </c>
    </row>
    <row r="207" spans="2:31" ht="17">
      <c r="B207" s="78">
        <v>6</v>
      </c>
      <c r="C207" s="94" t="str">
        <f>C35</f>
        <v>Aneka Tambang Tbk.</v>
      </c>
      <c r="D207" s="68" t="str">
        <f>D35</f>
        <v>ANTM</v>
      </c>
      <c r="E207" s="120">
        <f t="shared" ref="E207:X207" si="5">E36/E37</f>
        <v>1.5103436460630706</v>
      </c>
      <c r="F207" s="120">
        <f t="shared" si="5"/>
        <v>1.4532367742243308</v>
      </c>
      <c r="G207" s="120">
        <f t="shared" si="5"/>
        <v>1.4532367742243308</v>
      </c>
      <c r="H207" s="120">
        <f t="shared" si="5"/>
        <v>1.4481190908098218</v>
      </c>
      <c r="I207" s="120">
        <f t="shared" si="5"/>
        <v>1.3185493595399089</v>
      </c>
      <c r="J207" s="120">
        <f t="shared" si="5"/>
        <v>1.6013875223204104</v>
      </c>
      <c r="K207" s="120">
        <f t="shared" si="5"/>
        <v>1.9420306450001035</v>
      </c>
      <c r="L207" s="120">
        <f t="shared" si="5"/>
        <v>1.2114653525146291</v>
      </c>
      <c r="M207" s="120">
        <f t="shared" si="5"/>
        <v>1.2390800445491148</v>
      </c>
      <c r="N207" s="120">
        <f t="shared" si="5"/>
        <v>1.2610907552636632</v>
      </c>
      <c r="O207" s="120">
        <f t="shared" si="5"/>
        <v>1.2502389400463969</v>
      </c>
      <c r="P207" s="120">
        <f t="shared" si="5"/>
        <v>1.7871774628210515</v>
      </c>
      <c r="Q207" s="120">
        <f t="shared" si="5"/>
        <v>1.645015456211655</v>
      </c>
      <c r="R207" s="120">
        <f t="shared" si="5"/>
        <v>1.645015456211655</v>
      </c>
      <c r="S207" s="120">
        <f t="shared" si="5"/>
        <v>1.6800163075679297</v>
      </c>
      <c r="T207" s="120">
        <f t="shared" si="5"/>
        <v>1.9583792585715669</v>
      </c>
      <c r="U207" s="120">
        <f t="shared" si="5"/>
        <v>2.0749879983647102</v>
      </c>
      <c r="V207" s="120">
        <f t="shared" si="5"/>
        <v>1.5435155580490365</v>
      </c>
      <c r="W207" s="120">
        <f t="shared" si="5"/>
        <v>1.7107821659022102</v>
      </c>
      <c r="X207" s="120">
        <f t="shared" si="5"/>
        <v>2.3394958747452321</v>
      </c>
      <c r="Y207" s="60"/>
      <c r="Z207" s="45" t="s">
        <v>186</v>
      </c>
      <c r="AA207" s="54">
        <f>MIN(E238:X252)</f>
        <v>5.817570841612405E-4</v>
      </c>
      <c r="AB207" s="45">
        <f>MAX(E238:X252)</f>
        <v>0.99429704919272099</v>
      </c>
      <c r="AC207" s="45">
        <f>AVERAGE(E238:X252)</f>
        <v>0.23764768701989131</v>
      </c>
      <c r="AD207" s="45">
        <f>MEDIAN(E238:X252)</f>
        <v>0.22332168183921744</v>
      </c>
      <c r="AE207" s="45">
        <f>STDEV(E238:X252)</f>
        <v>0.13753289274331387</v>
      </c>
    </row>
    <row r="208" spans="2:31" ht="17">
      <c r="B208" s="78">
        <v>7</v>
      </c>
      <c r="C208" s="94" t="str">
        <f>C41</f>
        <v xml:space="preserve">Indo Tambangraya Megah Tbk </v>
      </c>
      <c r="D208" s="68" t="str">
        <f>D41</f>
        <v>ITMG</v>
      </c>
      <c r="E208" s="120">
        <f t="shared" ref="E208:X208" si="6">E42/E43</f>
        <v>1.503069361334922</v>
      </c>
      <c r="F208" s="120">
        <f t="shared" si="6"/>
        <v>1.503069361334922</v>
      </c>
      <c r="G208" s="120">
        <f t="shared" si="6"/>
        <v>1.9198531105336747</v>
      </c>
      <c r="H208" s="120">
        <f t="shared" si="6"/>
        <v>1.9198531105336747</v>
      </c>
      <c r="I208" s="120">
        <f t="shared" si="6"/>
        <v>1.8098560254349043</v>
      </c>
      <c r="J208" s="120">
        <f t="shared" si="6"/>
        <v>1.6011670384621144</v>
      </c>
      <c r="K208" s="120">
        <f t="shared" si="6"/>
        <v>1.8665615242319982</v>
      </c>
      <c r="L208" s="120">
        <f t="shared" si="6"/>
        <v>2.0257260009647853</v>
      </c>
      <c r="M208" s="120">
        <f t="shared" si="6"/>
        <v>2.231054733597738</v>
      </c>
      <c r="N208" s="120">
        <f t="shared" si="6"/>
        <v>1.9814050906118696</v>
      </c>
      <c r="O208" s="120">
        <f t="shared" si="6"/>
        <v>2.1992631921118213</v>
      </c>
      <c r="P208" s="120">
        <f t="shared" si="6"/>
        <v>2.7088223763033148</v>
      </c>
      <c r="Q208" s="120">
        <f t="shared" si="6"/>
        <v>3.200611362970891</v>
      </c>
      <c r="R208" s="120">
        <f t="shared" si="6"/>
        <v>3.200611362970891</v>
      </c>
      <c r="S208" s="120">
        <f t="shared" si="6"/>
        <v>3.9192502550828854</v>
      </c>
      <c r="T208" s="120">
        <f t="shared" si="6"/>
        <v>3.2590550414693662</v>
      </c>
      <c r="U208" s="120">
        <f t="shared" si="6"/>
        <v>1.9878609505337717</v>
      </c>
      <c r="V208" s="120">
        <f t="shared" si="6"/>
        <v>4.3787676253719114</v>
      </c>
      <c r="W208" s="120">
        <f t="shared" si="6"/>
        <v>3.7010951489128447</v>
      </c>
      <c r="X208" s="120">
        <f t="shared" si="6"/>
        <v>4.3495483493852252</v>
      </c>
      <c r="Y208" s="60"/>
      <c r="Z208" s="45" t="s">
        <v>187</v>
      </c>
      <c r="AA208" s="54">
        <f>MIN(E274:X288)</f>
        <v>8.4224368401352011E-3</v>
      </c>
      <c r="AB208" s="45">
        <f>MAX(E274:X288)</f>
        <v>0.68811911295993233</v>
      </c>
      <c r="AC208" s="45">
        <f>AVERAGE(E274:X288)</f>
        <v>0.25234324953830967</v>
      </c>
      <c r="AD208" s="45">
        <f>MEDIAN(E274:X288)</f>
        <v>0.25367361840611979</v>
      </c>
      <c r="AE208" s="45">
        <f>STDEV(E274:X288)</f>
        <v>0.11301672047408096</v>
      </c>
    </row>
    <row r="209" spans="2:31" ht="17">
      <c r="B209" s="78">
        <v>8</v>
      </c>
      <c r="C209" s="94" t="str">
        <f>C47</f>
        <v xml:space="preserve">Tambang Batubara Bukit Asam Tbk </v>
      </c>
      <c r="D209" s="68" t="str">
        <f>D47</f>
        <v>PTBA</v>
      </c>
      <c r="E209" s="120">
        <f t="shared" ref="E209:X209" si="7">E48/E49</f>
        <v>2.8560292868545685</v>
      </c>
      <c r="F209" s="120">
        <f t="shared" si="7"/>
        <v>2.3964572738149679</v>
      </c>
      <c r="G209" s="120">
        <f t="shared" si="7"/>
        <v>2.3964572738149679</v>
      </c>
      <c r="H209" s="120">
        <f t="shared" si="7"/>
        <v>2.4897162825011923</v>
      </c>
      <c r="I209" s="120">
        <f t="shared" si="7"/>
        <v>2.6817891208568776</v>
      </c>
      <c r="J209" s="120">
        <f t="shared" si="7"/>
        <v>1.5241023854899125</v>
      </c>
      <c r="K209" s="120">
        <f t="shared" si="7"/>
        <v>2.1370975603686557</v>
      </c>
      <c r="L209" s="120">
        <f t="shared" si="7"/>
        <v>2.1599609756802982</v>
      </c>
      <c r="M209" s="120">
        <f t="shared" si="7"/>
        <v>2.1912231350976485</v>
      </c>
      <c r="N209" s="120">
        <f t="shared" si="7"/>
        <v>1.8645019222488886</v>
      </c>
      <c r="O209" s="120">
        <f t="shared" si="7"/>
        <v>2.3350965465944373</v>
      </c>
      <c r="P209" s="120">
        <f t="shared" si="7"/>
        <v>2.4279905453489548</v>
      </c>
      <c r="Q209" s="120">
        <f t="shared" si="7"/>
        <v>2.6296006673642438</v>
      </c>
      <c r="R209" s="120">
        <f t="shared" si="7"/>
        <v>1.9974222594890743</v>
      </c>
      <c r="S209" s="120">
        <f t="shared" si="7"/>
        <v>2.245680895299587</v>
      </c>
      <c r="T209" s="120">
        <f t="shared" si="7"/>
        <v>2.282998529216635</v>
      </c>
      <c r="U209" s="120">
        <f t="shared" si="7"/>
        <v>2.2906515419019273</v>
      </c>
      <c r="V209" s="120">
        <f t="shared" si="7"/>
        <v>1.1491598545600941</v>
      </c>
      <c r="W209" s="120">
        <f t="shared" si="7"/>
        <v>1.3812025697402532</v>
      </c>
      <c r="X209" s="120">
        <f t="shared" si="7"/>
        <v>1.5196832375594911</v>
      </c>
      <c r="Y209" s="60"/>
      <c r="Z209" s="45" t="s">
        <v>188</v>
      </c>
      <c r="AA209" s="54">
        <f>MIN(E217:X231)</f>
        <v>2.1358264622076482E-2</v>
      </c>
      <c r="AB209" s="45">
        <f>MAX(E217:X231)</f>
        <v>18.908929411150009</v>
      </c>
      <c r="AC209" s="45">
        <f>AVERAGE(E217:X231)</f>
        <v>0.80835740045384663</v>
      </c>
      <c r="AD209" s="45">
        <f>MEDIAN(E217:X231)</f>
        <v>0.71</v>
      </c>
      <c r="AE209" s="45">
        <f>STDEV(E217:X231)</f>
        <v>1.1562932052417139</v>
      </c>
    </row>
    <row r="210" spans="2:31" ht="17">
      <c r="B210" s="78">
        <v>9</v>
      </c>
      <c r="C210" s="94" t="str">
        <f>C53</f>
        <v>Kalbe Farma Tbk</v>
      </c>
      <c r="D210" s="68" t="str">
        <f>D53</f>
        <v>KLBF</v>
      </c>
      <c r="E210" s="120">
        <f t="shared" ref="E210:X210" si="8">E54/E55</f>
        <v>4.2707123145004537</v>
      </c>
      <c r="F210" s="120">
        <f t="shared" si="8"/>
        <v>4.0104077779714178</v>
      </c>
      <c r="G210" s="120">
        <f t="shared" si="8"/>
        <v>4.3438334199575053</v>
      </c>
      <c r="H210" s="120">
        <f t="shared" si="8"/>
        <v>4.3546826400661676</v>
      </c>
      <c r="I210" s="120">
        <f t="shared" si="8"/>
        <v>3.2924403271841758</v>
      </c>
      <c r="J210" s="120">
        <f t="shared" si="8"/>
        <v>3.2673643906521792</v>
      </c>
      <c r="K210" s="120">
        <f t="shared" si="8"/>
        <v>3.8331558341069667</v>
      </c>
      <c r="L210" s="120">
        <f t="shared" si="8"/>
        <v>4.1159769553526786</v>
      </c>
      <c r="M210" s="120">
        <f t="shared" si="8"/>
        <v>4.0173744370256985</v>
      </c>
      <c r="N210" s="120">
        <f t="shared" si="8"/>
        <v>4.3605065330288468</v>
      </c>
      <c r="O210" s="120">
        <f t="shared" si="8"/>
        <v>4.337664838863069</v>
      </c>
      <c r="P210" s="120">
        <f t="shared" si="8"/>
        <v>4.445187625075941</v>
      </c>
      <c r="Q210" s="120">
        <f t="shared" si="8"/>
        <v>4.1773445768816337</v>
      </c>
      <c r="R210" s="120">
        <f t="shared" si="8"/>
        <v>4.0820573780529745</v>
      </c>
      <c r="S210" s="120">
        <f t="shared" si="8"/>
        <v>3.7969533838885248</v>
      </c>
      <c r="T210" s="120">
        <f t="shared" si="8"/>
        <v>3.7711768296281614</v>
      </c>
      <c r="U210" s="120">
        <f t="shared" si="8"/>
        <v>3.8095771252730719</v>
      </c>
      <c r="V210" s="120">
        <f t="shared" si="8"/>
        <v>3.3453882678739411</v>
      </c>
      <c r="W210" s="120">
        <f t="shared" si="8"/>
        <v>3.9047103495593976</v>
      </c>
      <c r="X210" s="120">
        <f t="shared" si="8"/>
        <v>4.90807797385939</v>
      </c>
      <c r="Y210" s="60"/>
      <c r="Z210" s="45" t="s">
        <v>189</v>
      </c>
      <c r="AA210" s="54">
        <f>MIN(E253:X267)</f>
        <v>-2.63242376778505E-4</v>
      </c>
      <c r="AB210" s="45">
        <f>MAX(E253:X267)</f>
        <v>0.57832724568780269</v>
      </c>
      <c r="AC210" s="45">
        <f>AVERAGE(E253:X267)</f>
        <v>0.10866614591487635</v>
      </c>
      <c r="AD210" s="45">
        <f>MEDIAN(E253:X267)</f>
        <v>9.5914418539545895E-2</v>
      </c>
      <c r="AE210" s="45">
        <f>STDEV(E253:X267)</f>
        <v>9.0928262349946887E-2</v>
      </c>
    </row>
    <row r="211" spans="2:31" ht="17">
      <c r="B211" s="78">
        <v>10</v>
      </c>
      <c r="C211" s="63" t="str">
        <f>C59</f>
        <v>Pakuwon Jati Tbk</v>
      </c>
      <c r="D211" s="68" t="str">
        <f>D59</f>
        <v>PWON</v>
      </c>
      <c r="E211" s="120">
        <f t="shared" ref="E211:X211" si="9">E60/E61</f>
        <v>2.3670057043472701</v>
      </c>
      <c r="F211" s="120">
        <f t="shared" si="9"/>
        <v>2.6545082436675962</v>
      </c>
      <c r="G211" s="120">
        <f t="shared" si="9"/>
        <v>2.6545082436675962</v>
      </c>
      <c r="H211" s="120">
        <f t="shared" si="9"/>
        <v>2.8586751042539729</v>
      </c>
      <c r="I211" s="120">
        <f t="shared" si="9"/>
        <v>2.4794554430458087</v>
      </c>
      <c r="J211" s="120">
        <f t="shared" si="9"/>
        <v>2.4794554430458087</v>
      </c>
      <c r="K211" s="120">
        <f t="shared" si="9"/>
        <v>2.7566481192543324</v>
      </c>
      <c r="L211" s="120">
        <f t="shared" si="9"/>
        <v>1.9807750882208259</v>
      </c>
      <c r="M211" s="120">
        <f t="shared" si="9"/>
        <v>1.9949973760160056</v>
      </c>
      <c r="N211" s="120">
        <f t="shared" si="9"/>
        <v>2.6018642305274149</v>
      </c>
      <c r="O211" s="120">
        <f t="shared" si="9"/>
        <v>2.9404308968935631</v>
      </c>
      <c r="P211" s="120">
        <f t="shared" si="9"/>
        <v>3.7936776011618822</v>
      </c>
      <c r="Q211" s="120">
        <f t="shared" si="9"/>
        <v>4.4256380424000561</v>
      </c>
      <c r="R211" s="120">
        <f t="shared" si="9"/>
        <v>4.4256380424000561</v>
      </c>
      <c r="S211" s="120">
        <f t="shared" si="9"/>
        <v>4.6005971923466475</v>
      </c>
      <c r="T211" s="120">
        <f t="shared" si="9"/>
        <v>4.6529203649945305</v>
      </c>
      <c r="U211" s="120">
        <f t="shared" si="9"/>
        <v>4.33513864896348</v>
      </c>
      <c r="V211" s="120">
        <f t="shared" si="9"/>
        <v>4.2017457031461909</v>
      </c>
      <c r="W211" s="120">
        <f t="shared" si="9"/>
        <v>4.6988637720424205</v>
      </c>
      <c r="X211" s="120">
        <f t="shared" si="9"/>
        <v>5.1558849811126493</v>
      </c>
      <c r="Y211" s="60"/>
      <c r="Z211" s="45" t="s">
        <v>190</v>
      </c>
      <c r="AA211" s="54">
        <f>MIN(E289:X303)</f>
        <v>0.46147298014866189</v>
      </c>
      <c r="AB211" s="45">
        <f>MAX(E289:X303)</f>
        <v>3.0332117091203483</v>
      </c>
      <c r="AC211" s="45">
        <f>AVERAGE(E289:X303)</f>
        <v>0.90915674462386653</v>
      </c>
      <c r="AD211" s="45">
        <f>MEDIAN(E289:X303)</f>
        <v>0.77798366457985146</v>
      </c>
      <c r="AE211" s="45">
        <f>STDEV(E289:X303)</f>
        <v>0.40799843229021254</v>
      </c>
    </row>
    <row r="212" spans="2:31" ht="17">
      <c r="B212" s="78">
        <v>11</v>
      </c>
      <c r="C212" s="94" t="str">
        <f>C65</f>
        <v>Surya Citra Media Tbk</v>
      </c>
      <c r="D212" s="68" t="str">
        <f>D65</f>
        <v>SCMA</v>
      </c>
      <c r="E212" s="120">
        <f t="shared" ref="E212:X212" si="10">E66/E67</f>
        <v>4.42500651268276</v>
      </c>
      <c r="F212" s="120">
        <f t="shared" si="10"/>
        <v>3.7884094719629928</v>
      </c>
      <c r="G212" s="120">
        <f t="shared" si="10"/>
        <v>3.5756505941368681</v>
      </c>
      <c r="H212" s="120">
        <f t="shared" si="10"/>
        <v>3.5990283716844522</v>
      </c>
      <c r="I212" s="120">
        <f t="shared" si="10"/>
        <v>3.4900040693949284</v>
      </c>
      <c r="J212" s="120">
        <f t="shared" si="10"/>
        <v>4.0779386824337802</v>
      </c>
      <c r="K212" s="120">
        <f t="shared" si="10"/>
        <v>3.596269930948309</v>
      </c>
      <c r="L212" s="120">
        <f t="shared" si="10"/>
        <v>2.3397726731315798</v>
      </c>
      <c r="M212" s="120">
        <f t="shared" si="10"/>
        <v>2.4530191368082419</v>
      </c>
      <c r="N212" s="120">
        <f t="shared" si="10"/>
        <v>2.9554595277699893</v>
      </c>
      <c r="O212" s="120">
        <f t="shared" si="10"/>
        <v>2.807085595383791</v>
      </c>
      <c r="P212" s="120">
        <f t="shared" si="10"/>
        <v>3.9231721075139583</v>
      </c>
      <c r="Q212" s="120">
        <f t="shared" si="10"/>
        <v>4.0146423590829876</v>
      </c>
      <c r="R212" s="120">
        <f t="shared" si="10"/>
        <v>4.3056578672168317</v>
      </c>
      <c r="S212" s="120">
        <f t="shared" si="10"/>
        <v>4.3056578672168317</v>
      </c>
      <c r="T212" s="120">
        <f t="shared" si="10"/>
        <v>3.6626138550254912</v>
      </c>
      <c r="U212" s="120">
        <f t="shared" si="10"/>
        <v>4.1043270879139557</v>
      </c>
      <c r="V212" s="120">
        <f t="shared" si="10"/>
        <v>3.3139347344341945</v>
      </c>
      <c r="W212" s="120">
        <f t="shared" si="10"/>
        <v>3.6075250417641338</v>
      </c>
      <c r="X212" s="120">
        <f t="shared" si="10"/>
        <v>3.2600571985808298</v>
      </c>
      <c r="Y212" s="60"/>
    </row>
    <row r="213" spans="2:31" ht="17">
      <c r="B213" s="78">
        <v>12</v>
      </c>
      <c r="C213" s="94" t="str">
        <f>C71</f>
        <v>United Tractors Tbk</v>
      </c>
      <c r="D213" s="68" t="str">
        <f>D71</f>
        <v>UNTR</v>
      </c>
      <c r="E213" s="120">
        <f t="shared" ref="E213:X213" si="11">E72/E73</f>
        <v>1.3274932820955005</v>
      </c>
      <c r="F213" s="120">
        <f t="shared" si="11"/>
        <v>1.3976259392323043</v>
      </c>
      <c r="G213" s="120">
        <f t="shared" si="11"/>
        <v>1.3976259392323043</v>
      </c>
      <c r="H213" s="120">
        <f t="shared" si="11"/>
        <v>1.5598014382396554</v>
      </c>
      <c r="I213" s="120">
        <f t="shared" si="11"/>
        <v>1.8062788134510168</v>
      </c>
      <c r="J213" s="120">
        <f t="shared" si="11"/>
        <v>1.7525553740403848</v>
      </c>
      <c r="K213" s="120">
        <f t="shared" si="11"/>
        <v>1.9776703983926434</v>
      </c>
      <c r="L213" s="120">
        <f t="shared" si="11"/>
        <v>2.11020594901867</v>
      </c>
      <c r="M213" s="120">
        <f t="shared" si="11"/>
        <v>1.9640762392780502</v>
      </c>
      <c r="N213" s="120">
        <f t="shared" si="11"/>
        <v>1.9049352292734953</v>
      </c>
      <c r="O213" s="120">
        <f t="shared" si="11"/>
        <v>1.9362936707996796</v>
      </c>
      <c r="P213" s="120">
        <f t="shared" si="11"/>
        <v>1.9877212987227157</v>
      </c>
      <c r="Q213" s="120">
        <f t="shared" si="11"/>
        <v>2.0346397345058649</v>
      </c>
      <c r="R213" s="120">
        <f t="shared" si="11"/>
        <v>1.9383426716717391</v>
      </c>
      <c r="S213" s="120">
        <f t="shared" si="11"/>
        <v>1.7415247364778037</v>
      </c>
      <c r="T213" s="120">
        <f t="shared" si="11"/>
        <v>1.877614796461494</v>
      </c>
      <c r="U213" s="120">
        <f t="shared" si="11"/>
        <v>1.7270266732074233</v>
      </c>
      <c r="V213" s="120">
        <f t="shared" si="11"/>
        <v>1.3611912748220625</v>
      </c>
      <c r="W213" s="120">
        <f t="shared" si="11"/>
        <v>1.1078475511068215</v>
      </c>
      <c r="X213" s="120">
        <f t="shared" si="11"/>
        <v>1.4560776437749086</v>
      </c>
      <c r="Y213" s="60"/>
    </row>
    <row r="214" spans="2:31" ht="17">
      <c r="B214" s="78">
        <v>13</v>
      </c>
      <c r="C214" s="94" t="str">
        <f>C77</f>
        <v>Vale Indonesia Tbk</v>
      </c>
      <c r="D214" s="68" t="str">
        <f>D77</f>
        <v>INCO</v>
      </c>
      <c r="E214" s="120">
        <f t="shared" ref="E214:X214" si="12">E78/E79</f>
        <v>3.7242627473016663</v>
      </c>
      <c r="F214" s="120">
        <f t="shared" si="12"/>
        <v>4.3336914927708348</v>
      </c>
      <c r="G214" s="120">
        <f t="shared" si="12"/>
        <v>4.3336914927708348</v>
      </c>
      <c r="H214" s="120">
        <f t="shared" si="12"/>
        <v>4.3083440740523757</v>
      </c>
      <c r="I214" s="120">
        <f t="shared" si="12"/>
        <v>5.3779355187286324</v>
      </c>
      <c r="J214" s="120">
        <f t="shared" si="12"/>
        <v>4.9734998477002739</v>
      </c>
      <c r="K214" s="120">
        <f t="shared" si="12"/>
        <v>0.47716037034920272</v>
      </c>
      <c r="L214" s="120">
        <f t="shared" si="12"/>
        <v>4.3306079273225064</v>
      </c>
      <c r="M214" s="120">
        <f t="shared" si="12"/>
        <v>4.7325179740530992</v>
      </c>
      <c r="N214" s="120">
        <f t="shared" si="12"/>
        <v>4.5796706744647206</v>
      </c>
      <c r="O214" s="120">
        <f t="shared" si="12"/>
        <v>5.0004768864886291</v>
      </c>
      <c r="P214" s="120">
        <f t="shared" si="12"/>
        <v>49.669061331116787</v>
      </c>
      <c r="Q214" s="120">
        <f t="shared" si="12"/>
        <v>5.1850537981177984</v>
      </c>
      <c r="R214" s="120">
        <f t="shared" si="12"/>
        <v>5.6767905393550198</v>
      </c>
      <c r="S214" s="120">
        <f t="shared" si="12"/>
        <v>5.2701197968706541</v>
      </c>
      <c r="T214" s="120">
        <f t="shared" si="12"/>
        <v>5.6547512268694407</v>
      </c>
      <c r="U214" s="120">
        <f t="shared" si="12"/>
        <v>5.2931089049133071</v>
      </c>
      <c r="V214" s="120">
        <f t="shared" si="12"/>
        <v>5.2898729230662687</v>
      </c>
      <c r="W214" s="120">
        <f t="shared" si="12"/>
        <v>4.9766402287565432</v>
      </c>
      <c r="X214" s="120">
        <f t="shared" si="12"/>
        <v>4.7669141362174532</v>
      </c>
      <c r="Y214" s="60"/>
    </row>
    <row r="215" spans="2:31" ht="17">
      <c r="B215" s="78">
        <v>14</v>
      </c>
      <c r="C215" s="94" t="str">
        <f>C83</f>
        <v xml:space="preserve">PT Chitose Internasional Tbk </v>
      </c>
      <c r="D215" s="68" t="str">
        <f>D83</f>
        <v>CINT</v>
      </c>
      <c r="E215" s="120">
        <f t="shared" ref="E215:X215" si="13">E84/E85</f>
        <v>2.8316500212359133</v>
      </c>
      <c r="F215" s="120">
        <f t="shared" si="13"/>
        <v>2.5848002430239561</v>
      </c>
      <c r="G215" s="120">
        <f t="shared" si="13"/>
        <v>2.6581438740673979</v>
      </c>
      <c r="H215" s="120">
        <f t="shared" si="13"/>
        <v>2.3770615663326295</v>
      </c>
      <c r="I215" s="120">
        <f t="shared" si="13"/>
        <v>2.4130584039938072</v>
      </c>
      <c r="J215" s="120">
        <f t="shared" si="13"/>
        <v>2.5104955305630714</v>
      </c>
      <c r="K215" s="120">
        <f t="shared" si="13"/>
        <v>2.6255226062601444</v>
      </c>
      <c r="L215" s="120">
        <f t="shared" si="13"/>
        <v>2.4938903828885994</v>
      </c>
      <c r="M215" s="120">
        <f t="shared" si="13"/>
        <v>2.2600371475727745</v>
      </c>
      <c r="N215" s="120">
        <f t="shared" si="13"/>
        <v>2.2959972773367912</v>
      </c>
      <c r="O215" s="120">
        <f t="shared" si="13"/>
        <v>2.0114288056943082</v>
      </c>
      <c r="P215" s="120">
        <f t="shared" si="13"/>
        <v>1.3207387442059717</v>
      </c>
      <c r="Q215" s="120">
        <f t="shared" si="13"/>
        <v>1.248352297641651</v>
      </c>
      <c r="R215" s="120">
        <f t="shared" si="13"/>
        <v>1.248352297641651</v>
      </c>
      <c r="S215" s="120">
        <f t="shared" si="13"/>
        <v>1.3237912524416215</v>
      </c>
      <c r="T215" s="120">
        <f t="shared" si="13"/>
        <v>1.3958014966153129</v>
      </c>
      <c r="U215" s="120">
        <f t="shared" si="13"/>
        <v>1.3524967640451344</v>
      </c>
      <c r="V215" s="120">
        <f t="shared" si="13"/>
        <v>1.3178966487654917</v>
      </c>
      <c r="W215" s="120">
        <f t="shared" si="13"/>
        <v>1.4019395992292956</v>
      </c>
      <c r="X215" s="120">
        <f t="shared" si="13"/>
        <v>1.4347971815764307</v>
      </c>
      <c r="Y215" s="60"/>
    </row>
    <row r="216" spans="2:31" ht="17">
      <c r="B216" s="78">
        <v>15</v>
      </c>
      <c r="C216" s="94" t="str">
        <f>C89</f>
        <v>Ekadharma International Tbk</v>
      </c>
      <c r="D216" s="68" t="str">
        <f>D89</f>
        <v>EKAD</v>
      </c>
      <c r="E216" s="120">
        <f t="shared" ref="E216:X216" si="14">E90/E91</f>
        <v>5.4374858669758712</v>
      </c>
      <c r="F216" s="120">
        <f t="shared" si="14"/>
        <v>7.0323065085591994</v>
      </c>
      <c r="G216" s="120">
        <f t="shared" si="14"/>
        <v>6.9471098426928126</v>
      </c>
      <c r="H216" s="120">
        <f t="shared" si="14"/>
        <v>6.9169656841595195</v>
      </c>
      <c r="I216" s="120">
        <f t="shared" si="14"/>
        <v>7.236844692701931</v>
      </c>
      <c r="J216" s="120">
        <f>J90/J91</f>
        <v>11.615954089906085</v>
      </c>
      <c r="K216" s="120">
        <f t="shared" si="14"/>
        <v>7.1541291705219461</v>
      </c>
      <c r="L216" s="120">
        <f t="shared" si="14"/>
        <v>8.1050334768986616</v>
      </c>
      <c r="M216" s="120">
        <f t="shared" si="14"/>
        <v>7.7916923328875338</v>
      </c>
      <c r="N216" s="120">
        <f t="shared" si="14"/>
        <v>7.9958577808143536</v>
      </c>
      <c r="O216" s="120">
        <f t="shared" si="14"/>
        <v>7.1532722309834798</v>
      </c>
      <c r="P216" s="120">
        <f t="shared" si="14"/>
        <v>7.7580745918995664</v>
      </c>
      <c r="Q216" s="120">
        <f t="shared" si="14"/>
        <v>11.017128788673155</v>
      </c>
      <c r="R216" s="120">
        <f t="shared" si="14"/>
        <v>10.281807147478679</v>
      </c>
      <c r="S216" s="120">
        <f t="shared" si="14"/>
        <v>10.87281730464278</v>
      </c>
      <c r="T216" s="120">
        <f t="shared" si="14"/>
        <v>11.755554723005035</v>
      </c>
      <c r="U216" s="120">
        <f t="shared" si="14"/>
        <v>12.656088746441778</v>
      </c>
      <c r="V216" s="120">
        <f t="shared" si="14"/>
        <v>9.317999217426749</v>
      </c>
      <c r="W216" s="120">
        <f t="shared" si="14"/>
        <v>12.242799471193173</v>
      </c>
      <c r="X216" s="120">
        <f t="shared" si="14"/>
        <v>14.206918490495569</v>
      </c>
      <c r="Y216" s="60"/>
    </row>
    <row r="217" spans="2:31" ht="17">
      <c r="B217" s="78">
        <v>16</v>
      </c>
      <c r="C217" s="94" t="str">
        <f>C95</f>
        <v xml:space="preserve">PT Borneo Olah Sarana Sukses Tbk </v>
      </c>
      <c r="D217" s="68" t="str">
        <f>D95</f>
        <v>BOSS</v>
      </c>
      <c r="E217" s="120">
        <f>E96/E97</f>
        <v>0.78133144413800859</v>
      </c>
      <c r="F217" s="120">
        <f t="shared" ref="F217:X217" si="15">F96/F97</f>
        <v>0.782544539324319</v>
      </c>
      <c r="G217" s="120">
        <f t="shared" si="15"/>
        <v>0.82538588929564827</v>
      </c>
      <c r="H217" s="120">
        <f t="shared" si="15"/>
        <v>1.0899376141373449</v>
      </c>
      <c r="I217" s="120">
        <f t="shared" si="15"/>
        <v>1.44689485397273</v>
      </c>
      <c r="J217" s="120">
        <f t="shared" si="15"/>
        <v>1.1360215881526745</v>
      </c>
      <c r="K217" s="120">
        <f t="shared" si="15"/>
        <v>1.2185180120558334</v>
      </c>
      <c r="L217" s="120">
        <f t="shared" si="15"/>
        <v>0.87546419220179106</v>
      </c>
      <c r="M217" s="120">
        <f t="shared" si="15"/>
        <v>0.57783771747844226</v>
      </c>
      <c r="N217" s="120">
        <f t="shared" si="15"/>
        <v>0.44639830756178422</v>
      </c>
      <c r="O217" s="120">
        <f t="shared" si="15"/>
        <v>0.42242382764245018</v>
      </c>
      <c r="P217" s="120">
        <f t="shared" si="15"/>
        <v>0.43082994409442399</v>
      </c>
      <c r="Q217" s="120">
        <f t="shared" si="15"/>
        <v>0.58741435440109258</v>
      </c>
      <c r="R217" s="120">
        <f t="shared" si="15"/>
        <v>0.73922773067692038</v>
      </c>
      <c r="S217" s="120">
        <f t="shared" si="15"/>
        <v>1.0358688601997899</v>
      </c>
      <c r="T217" s="120">
        <f t="shared" si="15"/>
        <v>1.3764651910386696</v>
      </c>
      <c r="U217" s="120">
        <f t="shared" si="15"/>
        <v>0.85388604932917866</v>
      </c>
      <c r="V217" s="120">
        <f t="shared" si="15"/>
        <v>1.1594011324739752</v>
      </c>
      <c r="W217" s="120">
        <f t="shared" si="15"/>
        <v>0.62688234213540994</v>
      </c>
      <c r="X217" s="120">
        <f t="shared" si="15"/>
        <v>0.57943796660385882</v>
      </c>
      <c r="Y217" s="60"/>
    </row>
    <row r="218" spans="2:31" ht="17">
      <c r="B218" s="78">
        <v>17</v>
      </c>
      <c r="C218" s="94" t="str">
        <f>C101</f>
        <v>PT ETERINDO WAHANATAMA</v>
      </c>
      <c r="D218" s="68" t="str">
        <f>D101</f>
        <v>ETWA</v>
      </c>
      <c r="E218" s="120">
        <f>E102/E103</f>
        <v>7.6263883471735891E-2</v>
      </c>
      <c r="F218" s="120">
        <f t="shared" ref="F218:X218" si="16">F102/F103</f>
        <v>2.1358264622076482E-2</v>
      </c>
      <c r="G218" s="120">
        <f t="shared" si="16"/>
        <v>3.8514412937006678E-2</v>
      </c>
      <c r="H218" s="120">
        <f t="shared" si="16"/>
        <v>4.2452910817027505E-2</v>
      </c>
      <c r="I218" s="120">
        <f t="shared" si="16"/>
        <v>7.3553313989451419E-2</v>
      </c>
      <c r="J218" s="120">
        <f t="shared" si="16"/>
        <v>5.7484357812824564E-2</v>
      </c>
      <c r="K218" s="120">
        <f t="shared" si="16"/>
        <v>3.8514412937944206E-2</v>
      </c>
      <c r="L218" s="120">
        <f t="shared" si="16"/>
        <v>4.2452910818000227E-2</v>
      </c>
      <c r="M218" s="120">
        <f t="shared" si="16"/>
        <v>4.5983689429893664E-2</v>
      </c>
      <c r="N218" s="120">
        <f t="shared" si="16"/>
        <v>9.8370699430521624E-2</v>
      </c>
      <c r="O218" s="120">
        <f t="shared" si="16"/>
        <v>9.8203496576992053E-2</v>
      </c>
      <c r="P218" s="120">
        <f t="shared" si="16"/>
        <v>9.3084025810693777E-2</v>
      </c>
      <c r="Q218" s="120">
        <f t="shared" si="16"/>
        <v>8.5261513515083154E-2</v>
      </c>
      <c r="R218" s="120">
        <f t="shared" si="16"/>
        <v>0.19980023292125176</v>
      </c>
      <c r="S218" s="120">
        <f t="shared" si="16"/>
        <v>0.2070147459120317</v>
      </c>
      <c r="T218" s="120">
        <f t="shared" si="16"/>
        <v>0.15538852230523625</v>
      </c>
      <c r="U218" s="120">
        <f t="shared" si="16"/>
        <v>0.14315357250280694</v>
      </c>
      <c r="V218" s="120">
        <f t="shared" si="16"/>
        <v>0.13908526662847343</v>
      </c>
      <c r="W218" s="120">
        <f t="shared" si="16"/>
        <v>0.13447741109404029</v>
      </c>
      <c r="X218" s="120">
        <f t="shared" si="16"/>
        <v>0.13471036022459187</v>
      </c>
      <c r="Y218" s="60"/>
    </row>
    <row r="219" spans="2:31" ht="17">
      <c r="B219" s="78">
        <v>18</v>
      </c>
      <c r="C219" s="94" t="str">
        <f>C107</f>
        <v>PT Cowel Development Tbk</v>
      </c>
      <c r="D219" s="68" t="s">
        <v>222</v>
      </c>
      <c r="E219" s="120">
        <f>E108/E109</f>
        <v>0.69543716247305709</v>
      </c>
      <c r="F219" s="120">
        <f t="shared" ref="F219:X219" si="17">F108/F109</f>
        <v>0.91553766925671476</v>
      </c>
      <c r="G219" s="120">
        <f t="shared" si="17"/>
        <v>1.0183921627742196</v>
      </c>
      <c r="H219" s="120">
        <f t="shared" si="17"/>
        <v>1.0133461845701521</v>
      </c>
      <c r="I219" s="120">
        <f t="shared" si="17"/>
        <v>1.3215045935776992</v>
      </c>
      <c r="J219" s="120">
        <f t="shared" si="17"/>
        <v>1.6289303178012515</v>
      </c>
      <c r="K219" s="120">
        <f t="shared" si="17"/>
        <v>1.2425319341762426</v>
      </c>
      <c r="L219" s="120">
        <f t="shared" si="17"/>
        <v>1.581494199134148</v>
      </c>
      <c r="M219" s="120">
        <f t="shared" si="17"/>
        <v>1.4314782021200838</v>
      </c>
      <c r="N219" s="120">
        <f t="shared" si="17"/>
        <v>1.359480905679685</v>
      </c>
      <c r="O219" s="120">
        <f t="shared" si="17"/>
        <v>1.244911816860782</v>
      </c>
      <c r="P219" s="120">
        <f t="shared" si="17"/>
        <v>0.85878611549637662</v>
      </c>
      <c r="Q219" s="120">
        <f t="shared" si="17"/>
        <v>0.86448393870688911</v>
      </c>
      <c r="R219" s="120">
        <f t="shared" si="17"/>
        <v>0.87115467843841154</v>
      </c>
      <c r="S219" s="120">
        <f t="shared" si="17"/>
        <v>0.85261895349329619</v>
      </c>
      <c r="T219" s="120">
        <f t="shared" si="17"/>
        <v>0.7380244089823822</v>
      </c>
      <c r="U219" s="120">
        <f t="shared" si="17"/>
        <v>0.74869849804110555</v>
      </c>
      <c r="V219" s="120">
        <f t="shared" si="17"/>
        <v>1.3756375413935931</v>
      </c>
      <c r="W219" s="120">
        <f t="shared" si="17"/>
        <v>1.3983484903951644</v>
      </c>
      <c r="X219" s="120">
        <f t="shared" si="17"/>
        <v>0.13872050078834663</v>
      </c>
      <c r="Y219" s="60"/>
    </row>
    <row r="220" spans="2:31" ht="17">
      <c r="B220" s="78">
        <v>19</v>
      </c>
      <c r="C220" s="94" t="str">
        <f>C191</f>
        <v>Ebit</v>
      </c>
      <c r="D220" s="68" t="s">
        <v>223</v>
      </c>
      <c r="E220" s="120">
        <f>E192/E193</f>
        <v>1.3463840618975011</v>
      </c>
      <c r="F220" s="120">
        <f t="shared" ref="F220:X220" si="18">F192/F193</f>
        <v>1.4558793164680328</v>
      </c>
      <c r="G220" s="120">
        <f t="shared" si="18"/>
        <v>1.3587757678980443</v>
      </c>
      <c r="H220" s="120">
        <f t="shared" si="18"/>
        <v>1.4989796400769013</v>
      </c>
      <c r="I220" s="120">
        <f t="shared" si="18"/>
        <v>1.5494135427975393</v>
      </c>
      <c r="J220" s="120">
        <f t="shared" si="18"/>
        <v>1.7050453887294896</v>
      </c>
      <c r="K220" s="120">
        <f t="shared" si="18"/>
        <v>1.6563158187153701</v>
      </c>
      <c r="L220" s="120">
        <f t="shared" si="18"/>
        <v>1.7487601306398937</v>
      </c>
      <c r="M220" s="120">
        <f t="shared" si="18"/>
        <v>18.908929411150009</v>
      </c>
      <c r="N220" s="120">
        <f t="shared" si="18"/>
        <v>2.0305461086596024</v>
      </c>
      <c r="O220" s="120">
        <f t="shared" si="18"/>
        <v>1.9637697152849698</v>
      </c>
      <c r="P220" s="120">
        <f t="shared" si="18"/>
        <v>1.9747511221723479</v>
      </c>
      <c r="Q220" s="120">
        <f t="shared" si="18"/>
        <v>1.7864177977046225</v>
      </c>
      <c r="R220" s="120">
        <f t="shared" si="18"/>
        <v>0.41743272646809348</v>
      </c>
      <c r="S220" s="120">
        <f t="shared" si="18"/>
        <v>0.4284713236511164</v>
      </c>
      <c r="T220" s="120">
        <f t="shared" si="18"/>
        <v>0.41756454210525662</v>
      </c>
      <c r="U220" s="120">
        <f t="shared" si="18"/>
        <v>0.46242079426411575</v>
      </c>
      <c r="V220" s="120">
        <f t="shared" si="18"/>
        <v>0.45391765494332587</v>
      </c>
      <c r="W220" s="120">
        <f t="shared" si="18"/>
        <v>0.42583316245325209</v>
      </c>
      <c r="X220" s="120">
        <f t="shared" si="18"/>
        <v>0.41472304301953772</v>
      </c>
      <c r="Y220" s="60"/>
    </row>
    <row r="221" spans="2:31" ht="17">
      <c r="B221" s="78">
        <v>20</v>
      </c>
      <c r="C221" s="94" t="str">
        <f>C119</f>
        <v>PT Grand Kartech Tbk</v>
      </c>
      <c r="D221" s="68" t="str">
        <f>D119</f>
        <v>KRAH</v>
      </c>
      <c r="E221" s="120">
        <f>E120/E121</f>
        <v>0.71</v>
      </c>
      <c r="F221" s="120">
        <f t="shared" ref="F221:X221" si="19">F120/F121</f>
        <v>0.71</v>
      </c>
      <c r="G221" s="120">
        <f t="shared" si="19"/>
        <v>0.71</v>
      </c>
      <c r="H221" s="120">
        <f t="shared" si="19"/>
        <v>0.71</v>
      </c>
      <c r="I221" s="120">
        <f t="shared" si="19"/>
        <v>0.71</v>
      </c>
      <c r="J221" s="120">
        <f t="shared" si="19"/>
        <v>0.71</v>
      </c>
      <c r="K221" s="120">
        <f t="shared" si="19"/>
        <v>0.71</v>
      </c>
      <c r="L221" s="120">
        <f t="shared" si="19"/>
        <v>0.71</v>
      </c>
      <c r="M221" s="120">
        <f t="shared" si="19"/>
        <v>0.71</v>
      </c>
      <c r="N221" s="120">
        <f t="shared" si="19"/>
        <v>0.71</v>
      </c>
      <c r="O221" s="120">
        <f t="shared" si="19"/>
        <v>0.71</v>
      </c>
      <c r="P221" s="120">
        <f t="shared" si="19"/>
        <v>0.71</v>
      </c>
      <c r="Q221" s="120">
        <f t="shared" si="19"/>
        <v>0.71</v>
      </c>
      <c r="R221" s="120">
        <f t="shared" si="19"/>
        <v>0.93373979791887496</v>
      </c>
      <c r="S221" s="120">
        <f t="shared" si="19"/>
        <v>1.0647392710549273</v>
      </c>
      <c r="T221" s="120">
        <f t="shared" si="19"/>
        <v>1.1670147095455681</v>
      </c>
      <c r="U221" s="120">
        <f t="shared" si="19"/>
        <v>1.0005917950895111</v>
      </c>
      <c r="V221" s="120">
        <f t="shared" si="19"/>
        <v>0.95663226133208124</v>
      </c>
      <c r="W221" s="120">
        <f t="shared" si="19"/>
        <v>0.94041749081368897</v>
      </c>
      <c r="X221" s="120">
        <f t="shared" si="19"/>
        <v>0.94311467250003589</v>
      </c>
      <c r="Y221" s="60"/>
    </row>
    <row r="222" spans="2:31" ht="17">
      <c r="B222" s="78">
        <v>21</v>
      </c>
      <c r="C222" s="94" t="str">
        <f>C125</f>
        <v>Prima Alloy Steel Universal</v>
      </c>
      <c r="D222" s="68" t="str">
        <f>D125</f>
        <v>PRAS</v>
      </c>
      <c r="E222" s="120">
        <f>E126/E127</f>
        <v>0.8229825834729263</v>
      </c>
      <c r="F222" s="120">
        <f t="shared" ref="F222:X222" si="20">F126/F127</f>
        <v>0.80245629554995801</v>
      </c>
      <c r="G222" s="120">
        <f t="shared" si="20"/>
        <v>0.85745515090507873</v>
      </c>
      <c r="H222" s="120">
        <f t="shared" si="20"/>
        <v>0.83243493421360171</v>
      </c>
      <c r="I222" s="120">
        <f t="shared" si="20"/>
        <v>0.60160618986705749</v>
      </c>
      <c r="J222" s="120">
        <f t="shared" si="20"/>
        <v>0.56696246381742732</v>
      </c>
      <c r="K222" s="120">
        <f t="shared" si="20"/>
        <v>0.72233539267491331</v>
      </c>
      <c r="L222" s="120">
        <f t="shared" si="20"/>
        <v>1.8411545042346187</v>
      </c>
      <c r="M222" s="120">
        <f t="shared" si="20"/>
        <v>2.3795993091920344</v>
      </c>
      <c r="N222" s="120">
        <f t="shared" si="20"/>
        <v>2.0637609750597474</v>
      </c>
      <c r="O222" s="120">
        <f t="shared" si="20"/>
        <v>2.1066931606260737</v>
      </c>
      <c r="P222" s="120">
        <f t="shared" si="20"/>
        <v>1.7731774870189008</v>
      </c>
      <c r="Q222" s="120">
        <f t="shared" si="20"/>
        <v>1.8515304620374005</v>
      </c>
      <c r="R222" s="120">
        <f t="shared" si="20"/>
        <v>1.5958158313790898</v>
      </c>
      <c r="S222" s="120">
        <f t="shared" si="20"/>
        <v>1.8217140871634743</v>
      </c>
      <c r="T222" s="120">
        <f t="shared" si="20"/>
        <v>1.718943104869046</v>
      </c>
      <c r="U222" s="120">
        <f t="shared" si="20"/>
        <v>1.382043115584636</v>
      </c>
      <c r="V222" s="120">
        <f t="shared" si="20"/>
        <v>1.2569093606613908</v>
      </c>
      <c r="W222" s="120">
        <f t="shared" si="20"/>
        <v>1.1059606351473388</v>
      </c>
      <c r="X222" s="120">
        <f t="shared" si="20"/>
        <v>1.012506822330129</v>
      </c>
      <c r="Y222" s="60"/>
    </row>
    <row r="223" spans="2:31" ht="17">
      <c r="B223" s="78">
        <v>22</v>
      </c>
      <c r="C223" s="94" t="str">
        <f>C185</f>
        <v>EXPRESS, INC.</v>
      </c>
      <c r="D223" s="68" t="s">
        <v>224</v>
      </c>
      <c r="E223" s="120">
        <f>E186/E187</f>
        <v>1.8640076886112447</v>
      </c>
      <c r="F223" s="120">
        <f t="shared" ref="F223:X223" si="21">F186/F187</f>
        <v>0.97034620727079812</v>
      </c>
      <c r="G223" s="120">
        <f t="shared" si="21"/>
        <v>0.99043390996645797</v>
      </c>
      <c r="H223" s="120">
        <f t="shared" si="21"/>
        <v>0.99347259401674914</v>
      </c>
      <c r="I223" s="120">
        <f t="shared" si="21"/>
        <v>1.0068752339697311</v>
      </c>
      <c r="J223" s="120">
        <f t="shared" si="21"/>
        <v>1.1740475484171717</v>
      </c>
      <c r="K223" s="120">
        <f t="shared" si="21"/>
        <v>1.0715743788037735</v>
      </c>
      <c r="L223" s="120">
        <f t="shared" si="21"/>
        <v>0.96409053708680947</v>
      </c>
      <c r="M223" s="120">
        <f t="shared" si="21"/>
        <v>9.2128382904283643E-2</v>
      </c>
      <c r="N223" s="120">
        <f t="shared" si="21"/>
        <v>8.7312333240412571E-2</v>
      </c>
      <c r="O223" s="120">
        <f t="shared" si="21"/>
        <v>0.73860924643639347</v>
      </c>
      <c r="P223" s="120">
        <f t="shared" si="21"/>
        <v>0.81946805119242339</v>
      </c>
      <c r="Q223" s="120">
        <f t="shared" si="21"/>
        <v>0.83650300944510636</v>
      </c>
      <c r="R223" s="120">
        <f t="shared" si="21"/>
        <v>0.85418530886715072</v>
      </c>
      <c r="S223" s="120">
        <f t="shared" si="21"/>
        <v>0.85584290899761684</v>
      </c>
      <c r="T223" s="120">
        <f t="shared" si="21"/>
        <v>0.86380619689356664</v>
      </c>
      <c r="U223" s="120">
        <f t="shared" si="21"/>
        <v>0.98672437286971426</v>
      </c>
      <c r="V223" s="120">
        <f t="shared" si="21"/>
        <v>0.93654782041155527</v>
      </c>
      <c r="W223" s="120">
        <f t="shared" si="21"/>
        <v>0.93381886845609219</v>
      </c>
      <c r="X223" s="120">
        <f t="shared" si="21"/>
        <v>0.97685574846509682</v>
      </c>
      <c r="Y223" s="60"/>
    </row>
    <row r="224" spans="2:31" ht="17">
      <c r="B224" s="78">
        <v>23</v>
      </c>
      <c r="C224" s="94" t="str">
        <f>C137</f>
        <v>Bumi Resources Tbk</v>
      </c>
      <c r="D224" s="68" t="str">
        <f>D137</f>
        <v>BUMI</v>
      </c>
      <c r="E224" s="120">
        <f>E138/E139</f>
        <v>0.36267401497052992</v>
      </c>
      <c r="F224" s="120">
        <f t="shared" ref="F224:X224" si="22">F138/F139</f>
        <v>0.40167879675887525</v>
      </c>
      <c r="G224" s="120">
        <f t="shared" si="22"/>
        <v>0.40719788813691249</v>
      </c>
      <c r="H224" s="120">
        <f t="shared" si="22"/>
        <v>0.38709313028963638</v>
      </c>
      <c r="I224" s="120">
        <f t="shared" si="22"/>
        <v>0.36022021311154673</v>
      </c>
      <c r="J224" s="120">
        <f t="shared" si="22"/>
        <v>0.2763404171916371</v>
      </c>
      <c r="K224" s="120">
        <f t="shared" si="22"/>
        <v>0.25586834439104567</v>
      </c>
      <c r="L224" s="120">
        <f t="shared" si="22"/>
        <v>0.30598870146794188</v>
      </c>
      <c r="M224" s="120">
        <f t="shared" si="22"/>
        <v>0.31139810791572947</v>
      </c>
      <c r="N224" s="120">
        <f t="shared" si="22"/>
        <v>0.36661918814695932</v>
      </c>
      <c r="O224" s="120">
        <f t="shared" si="22"/>
        <v>0.41824470334490693</v>
      </c>
      <c r="P224" s="120">
        <f t="shared" si="22"/>
        <v>0.26956254597518337</v>
      </c>
      <c r="Q224" s="120">
        <f t="shared" si="22"/>
        <v>0.29967056910998963</v>
      </c>
      <c r="R224" s="120">
        <f t="shared" si="22"/>
        <v>0.33994422830891913</v>
      </c>
      <c r="S224" s="120">
        <f t="shared" si="22"/>
        <v>0.36789804096680134</v>
      </c>
      <c r="T224" s="120">
        <f t="shared" si="22"/>
        <v>0.83741216083133052</v>
      </c>
      <c r="U224" s="120">
        <f t="shared" si="22"/>
        <v>0.83386214795031832</v>
      </c>
      <c r="V224" s="120">
        <f t="shared" si="22"/>
        <v>0.86491480545174682</v>
      </c>
      <c r="W224" s="120">
        <f t="shared" si="22"/>
        <v>0.81618789298107319</v>
      </c>
      <c r="X224" s="120">
        <f t="shared" si="22"/>
        <v>0.83086901619843623</v>
      </c>
      <c r="Y224" s="60"/>
    </row>
    <row r="225" spans="2:25" ht="17">
      <c r="B225" s="78">
        <v>24</v>
      </c>
      <c r="C225" s="94" t="str">
        <f>C143</f>
        <v>Modernland Realty Ltd Tbk</v>
      </c>
      <c r="D225" s="68" t="str">
        <f>D143</f>
        <v>MDLN</v>
      </c>
      <c r="E225" s="120">
        <f>E144/E145</f>
        <v>2.2648369999815943</v>
      </c>
      <c r="F225" s="120">
        <f t="shared" ref="F225:X225" si="23">F144/F145</f>
        <v>2.148388244673749</v>
      </c>
      <c r="G225" s="120">
        <f t="shared" si="23"/>
        <v>1.8530963607755837</v>
      </c>
      <c r="H225" s="120">
        <f t="shared" si="23"/>
        <v>1.9265352749776472</v>
      </c>
      <c r="I225" s="120">
        <f t="shared" si="23"/>
        <v>1.6252013224890969</v>
      </c>
      <c r="J225" s="120">
        <f t="shared" si="23"/>
        <v>1.5579358342461163</v>
      </c>
      <c r="K225" s="120">
        <f t="shared" si="23"/>
        <v>1.4127659571360838</v>
      </c>
      <c r="L225" s="120">
        <f t="shared" si="23"/>
        <v>0.25692957536979799</v>
      </c>
      <c r="M225" s="120">
        <f t="shared" si="23"/>
        <v>0.24815629411916282</v>
      </c>
      <c r="N225" s="120">
        <f t="shared" si="23"/>
        <v>0.24418026946264834</v>
      </c>
      <c r="O225" s="120">
        <f t="shared" si="23"/>
        <v>0.24433392211649615</v>
      </c>
      <c r="P225" s="120">
        <f t="shared" si="23"/>
        <v>0.97873720222011784</v>
      </c>
      <c r="Q225" s="120">
        <f t="shared" si="23"/>
        <v>1.0333414842927171</v>
      </c>
      <c r="R225" s="120">
        <f t="shared" si="23"/>
        <v>0.77860965885094013</v>
      </c>
      <c r="S225" s="120">
        <f t="shared" si="23"/>
        <v>0.76328815488094359</v>
      </c>
      <c r="T225" s="120">
        <f t="shared" si="23"/>
        <v>0.80382881979097787</v>
      </c>
      <c r="U225" s="120">
        <f t="shared" si="23"/>
        <v>0.79255942707655347</v>
      </c>
      <c r="V225" s="120">
        <f t="shared" si="23"/>
        <v>0.7897237098059332</v>
      </c>
      <c r="W225" s="120">
        <f t="shared" si="23"/>
        <v>0.82052903461654614</v>
      </c>
      <c r="X225" s="120">
        <f t="shared" si="23"/>
        <v>0.88035738638174399</v>
      </c>
      <c r="Y225" s="60"/>
    </row>
    <row r="226" spans="2:25" ht="17">
      <c r="B226" s="78">
        <v>25</v>
      </c>
      <c r="C226" s="94" t="str">
        <f>C149</f>
        <v>FKS Food Sejahtera Tbk PT</v>
      </c>
      <c r="D226" s="68" t="str">
        <f>D149</f>
        <v>AISA</v>
      </c>
      <c r="E226" s="120">
        <f>E150/E151</f>
        <v>0.36569564727288734</v>
      </c>
      <c r="F226" s="120">
        <f t="shared" ref="F226:X226" si="24">F150/F151</f>
        <v>0.36569564727288734</v>
      </c>
      <c r="G226" s="120">
        <f t="shared" si="24"/>
        <v>0.36100614430470218</v>
      </c>
      <c r="H226" s="120">
        <f t="shared" si="24"/>
        <v>0.41135531167302586</v>
      </c>
      <c r="I226" s="120">
        <f t="shared" si="24"/>
        <v>0.69053632954340438</v>
      </c>
      <c r="J226" s="120">
        <f t="shared" si="24"/>
        <v>0.77699912219767753</v>
      </c>
      <c r="K226" s="120">
        <f t="shared" si="24"/>
        <v>0.78959568695105065</v>
      </c>
      <c r="L226" s="120">
        <f t="shared" si="24"/>
        <v>0.81285967953671112</v>
      </c>
      <c r="M226" s="120">
        <f t="shared" si="24"/>
        <v>0.7994051379895063</v>
      </c>
      <c r="N226" s="120">
        <f t="shared" si="24"/>
        <v>0.76302167391501974</v>
      </c>
      <c r="O226" s="120">
        <f t="shared" si="24"/>
        <v>0.74270812799995978</v>
      </c>
      <c r="P226" s="120">
        <f t="shared" si="24"/>
        <v>0.60109441404405428</v>
      </c>
      <c r="Q226" s="120">
        <f t="shared" si="24"/>
        <v>0.62639633914812387</v>
      </c>
      <c r="R226" s="120">
        <f t="shared" si="24"/>
        <v>0.63974569201831477</v>
      </c>
      <c r="S226" s="120">
        <f t="shared" si="24"/>
        <v>0.61917000586058335</v>
      </c>
      <c r="T226" s="120">
        <f t="shared" si="24"/>
        <v>0.67514829564190182</v>
      </c>
      <c r="U226" s="120">
        <f t="shared" si="24"/>
        <v>0.66910483577255997</v>
      </c>
      <c r="V226" s="120">
        <f t="shared" si="24"/>
        <v>0.65234989761760742</v>
      </c>
      <c r="W226" s="120">
        <f t="shared" si="24"/>
        <v>0.68834413052043608</v>
      </c>
      <c r="X226" s="120">
        <f t="shared" si="24"/>
        <v>0.75263484097001543</v>
      </c>
      <c r="Y226" s="60"/>
    </row>
    <row r="227" spans="2:25" ht="17">
      <c r="B227" s="78">
        <v>26</v>
      </c>
      <c r="C227" s="94" t="str">
        <f>C155</f>
        <v>Indosat Tbk</v>
      </c>
      <c r="D227" s="68" t="str">
        <f>D155</f>
        <v>ISAT</v>
      </c>
      <c r="E227" s="120">
        <f>E156/E157</f>
        <v>0.40982540033609954</v>
      </c>
      <c r="F227" s="120">
        <f t="shared" ref="F227:X227" si="25">F156/F157</f>
        <v>0.37826785737207713</v>
      </c>
      <c r="G227" s="120">
        <f t="shared" si="25"/>
        <v>0.50151623074757401</v>
      </c>
      <c r="H227" s="120">
        <f t="shared" si="25"/>
        <v>0.56236375615469714</v>
      </c>
      <c r="I227" s="120">
        <f t="shared" si="25"/>
        <v>0.58135110625972497</v>
      </c>
      <c r="J227" s="120">
        <f t="shared" si="25"/>
        <v>0.53899838622873697</v>
      </c>
      <c r="K227" s="120">
        <f t="shared" si="25"/>
        <v>0.48951806473696463</v>
      </c>
      <c r="L227" s="120">
        <f t="shared" si="25"/>
        <v>0.42346681940678682</v>
      </c>
      <c r="M227" s="120">
        <f t="shared" si="25"/>
        <v>0.46260512718628805</v>
      </c>
      <c r="N227" s="120">
        <f t="shared" si="25"/>
        <v>0.71563737280237905</v>
      </c>
      <c r="O227" s="120">
        <f t="shared" si="25"/>
        <v>0.65574474991627041</v>
      </c>
      <c r="P227" s="120">
        <f t="shared" si="25"/>
        <v>0.40126240519625966</v>
      </c>
      <c r="Q227" s="120">
        <f t="shared" si="25"/>
        <v>0.3885411440622249</v>
      </c>
      <c r="R227" s="120">
        <f t="shared" si="25"/>
        <v>0.46658861487127107</v>
      </c>
      <c r="S227" s="120">
        <f t="shared" si="25"/>
        <v>0.34736534454878237</v>
      </c>
      <c r="T227" s="120">
        <f t="shared" si="25"/>
        <v>0.52079713611562495</v>
      </c>
      <c r="U227" s="120">
        <f t="shared" si="25"/>
        <v>0.55302218629522559</v>
      </c>
      <c r="V227" s="120">
        <f t="shared" si="25"/>
        <v>0.44759458371112848</v>
      </c>
      <c r="W227" s="120">
        <f t="shared" si="25"/>
        <v>0.44217373511990365</v>
      </c>
      <c r="X227" s="120">
        <f t="shared" si="25"/>
        <v>0.45349222043031562</v>
      </c>
      <c r="Y227" s="60"/>
    </row>
    <row r="228" spans="2:25" ht="17">
      <c r="B228" s="78">
        <v>27</v>
      </c>
      <c r="C228" s="94" t="str">
        <f>C161</f>
        <v>Krakatau Steel Persero Tbk</v>
      </c>
      <c r="D228" s="68" t="str">
        <f>D161</f>
        <v>KRAS</v>
      </c>
      <c r="E228" s="120">
        <f>E162/E163</f>
        <v>0.61908768198664521</v>
      </c>
      <c r="F228" s="120">
        <f t="shared" ref="F228:X228" si="26">F162/F163</f>
        <v>0.53838835764640192</v>
      </c>
      <c r="G228" s="120">
        <f t="shared" si="26"/>
        <v>0.51024284683818222</v>
      </c>
      <c r="H228" s="120">
        <f t="shared" si="26"/>
        <v>1.0768694646851504</v>
      </c>
      <c r="I228" s="120">
        <f t="shared" si="26"/>
        <v>0.27697119107863105</v>
      </c>
      <c r="J228" s="120">
        <f t="shared" si="26"/>
        <v>0.7361105600904555</v>
      </c>
      <c r="K228" s="120">
        <f t="shared" si="26"/>
        <v>0.76946332874174939</v>
      </c>
      <c r="L228" s="120">
        <f t="shared" si="26"/>
        <v>0.52039315476812353</v>
      </c>
      <c r="M228" s="120">
        <f t="shared" si="26"/>
        <v>1.0094816168295677</v>
      </c>
      <c r="N228" s="120">
        <f t="shared" si="26"/>
        <v>1.0530368287347309</v>
      </c>
      <c r="O228" s="120">
        <f t="shared" si="26"/>
        <v>0.60527121261788697</v>
      </c>
      <c r="P228" s="120">
        <f t="shared" si="26"/>
        <v>0.67114283943351649</v>
      </c>
      <c r="Q228" s="120">
        <f t="shared" si="26"/>
        <v>0.65449000826619153</v>
      </c>
      <c r="R228" s="120">
        <f t="shared" si="26"/>
        <v>0.6974214034956796</v>
      </c>
      <c r="S228" s="120">
        <f t="shared" si="26"/>
        <v>0.69762500120992332</v>
      </c>
      <c r="T228" s="120">
        <f t="shared" si="26"/>
        <v>0.66077439187007847</v>
      </c>
      <c r="U228" s="120">
        <f t="shared" si="26"/>
        <v>0.44695225728159388</v>
      </c>
      <c r="V228" s="120">
        <f t="shared" si="26"/>
        <v>0.40486821320847999</v>
      </c>
      <c r="W228" s="120">
        <f t="shared" si="26"/>
        <v>0.36122536153921708</v>
      </c>
      <c r="X228" s="120">
        <f t="shared" si="26"/>
        <v>0.34749868016543523</v>
      </c>
      <c r="Y228" s="60"/>
    </row>
    <row r="229" spans="2:25" ht="17">
      <c r="B229" s="78">
        <v>28</v>
      </c>
      <c r="C229" s="94" t="str">
        <f>C167</f>
        <v>Bakrie Sumatera Plantations</v>
      </c>
      <c r="D229" s="68" t="str">
        <f>D167</f>
        <v>UNSP</v>
      </c>
      <c r="E229" s="120">
        <f>E168/E169</f>
        <v>0.11266764866508194</v>
      </c>
      <c r="F229" s="120">
        <f t="shared" ref="F229:X229" si="27">F168/F169</f>
        <v>0.10898651352932384</v>
      </c>
      <c r="G229" s="120">
        <f t="shared" si="27"/>
        <v>0.11727284343629762</v>
      </c>
      <c r="H229" s="120">
        <f t="shared" si="27"/>
        <v>0.10643338425372668</v>
      </c>
      <c r="I229" s="120">
        <f t="shared" si="27"/>
        <v>9.4237348321541112E-2</v>
      </c>
      <c r="J229" s="120">
        <f t="shared" si="27"/>
        <v>0.10249153351421576</v>
      </c>
      <c r="K229" s="120">
        <f t="shared" si="27"/>
        <v>0.10598605921457405</v>
      </c>
      <c r="L229" s="120">
        <f t="shared" si="27"/>
        <v>6.0137529093598936E-2</v>
      </c>
      <c r="M229" s="120">
        <f t="shared" si="27"/>
        <v>6.9751820944479279E-2</v>
      </c>
      <c r="N229" s="120">
        <f t="shared" si="27"/>
        <v>8.0640724405409647E-2</v>
      </c>
      <c r="O229" s="120">
        <f t="shared" si="27"/>
        <v>9.7125701788669777E-2</v>
      </c>
      <c r="P229" s="120">
        <f t="shared" si="27"/>
        <v>0.11342090324673983</v>
      </c>
      <c r="Q229" s="120">
        <f t="shared" si="27"/>
        <v>0.12974075933335408</v>
      </c>
      <c r="R229" s="120">
        <f t="shared" si="27"/>
        <v>0.13305753417666449</v>
      </c>
      <c r="S229" s="120">
        <f t="shared" si="27"/>
        <v>0.13274568883565524</v>
      </c>
      <c r="T229" s="120">
        <f t="shared" si="27"/>
        <v>8.5174609110542046E-2</v>
      </c>
      <c r="U229" s="120">
        <f t="shared" si="27"/>
        <v>9.1899702266520764E-2</v>
      </c>
      <c r="V229" s="120">
        <f t="shared" si="27"/>
        <v>8.8516752352660405E-2</v>
      </c>
      <c r="W229" s="120">
        <f t="shared" si="27"/>
        <v>0.10064581586933127</v>
      </c>
      <c r="X229" s="120">
        <f t="shared" si="27"/>
        <v>0.10157754897193985</v>
      </c>
      <c r="Y229" s="60"/>
    </row>
    <row r="230" spans="2:25" ht="17">
      <c r="B230" s="78">
        <v>29</v>
      </c>
      <c r="C230" s="94" t="str">
        <f>C173</f>
        <v>Multipolar Tbk</v>
      </c>
      <c r="D230" s="68" t="str">
        <f>D173</f>
        <v>MLPL</v>
      </c>
      <c r="E230" s="120">
        <f>E174/E175</f>
        <v>1.0449306395186064</v>
      </c>
      <c r="F230" s="120">
        <f t="shared" ref="F230:X230" si="28">F174/F175</f>
        <v>1.1174732320977634</v>
      </c>
      <c r="G230" s="120">
        <f t="shared" si="28"/>
        <v>1.1139478137209</v>
      </c>
      <c r="H230" s="120">
        <f t="shared" si="28"/>
        <v>1.0102406040596998</v>
      </c>
      <c r="I230" s="120">
        <f t="shared" si="28"/>
        <v>0.89120483898673808</v>
      </c>
      <c r="J230" s="120">
        <f t="shared" si="28"/>
        <v>0.83252051684169548</v>
      </c>
      <c r="K230" s="120">
        <f t="shared" si="28"/>
        <v>0.85272663331613985</v>
      </c>
      <c r="L230" s="120">
        <f t="shared" si="28"/>
        <v>0.82683588836663857</v>
      </c>
      <c r="M230" s="120">
        <f t="shared" si="28"/>
        <v>0.81422020745012913</v>
      </c>
      <c r="N230" s="120">
        <f t="shared" si="28"/>
        <v>0.88072366311394368</v>
      </c>
      <c r="O230" s="120">
        <f t="shared" si="28"/>
        <v>0.89567391505484328</v>
      </c>
      <c r="P230" s="120">
        <f t="shared" si="28"/>
        <v>1.1329462939830421</v>
      </c>
      <c r="Q230" s="120">
        <f t="shared" si="28"/>
        <v>1.1623252165379143</v>
      </c>
      <c r="R230" s="120">
        <f t="shared" si="28"/>
        <v>1.2292304073117637</v>
      </c>
      <c r="S230" s="120">
        <f t="shared" si="28"/>
        <v>1.0385382433016332</v>
      </c>
      <c r="T230" s="120">
        <f t="shared" si="28"/>
        <v>1.0019588598936808</v>
      </c>
      <c r="U230" s="120">
        <f t="shared" si="28"/>
        <v>1.0473826643897273</v>
      </c>
      <c r="V230" s="120">
        <f t="shared" si="28"/>
        <v>1.0322661545566609</v>
      </c>
      <c r="W230" s="120">
        <f t="shared" si="28"/>
        <v>0.94471646126476305</v>
      </c>
      <c r="X230" s="120">
        <f t="shared" si="28"/>
        <v>1.0000498007558192</v>
      </c>
      <c r="Y230" s="60"/>
    </row>
    <row r="231" spans="2:25" ht="17">
      <c r="B231" s="78">
        <v>30</v>
      </c>
      <c r="C231" s="94" t="str">
        <f>C179</f>
        <v>Visi Media Asia Tbk</v>
      </c>
      <c r="D231" s="68" t="str">
        <f>D179</f>
        <v>VIVA</v>
      </c>
      <c r="E231" s="120">
        <f>E180/E181</f>
        <v>1.1423766241331679</v>
      </c>
      <c r="F231" s="120">
        <f t="shared" ref="F231:W231" si="29">F180/F181</f>
        <v>0.97939989771287062</v>
      </c>
      <c r="G231" s="120">
        <f t="shared" si="29"/>
        <v>0.87558420127427927</v>
      </c>
      <c r="H231" s="120">
        <f t="shared" si="29"/>
        <v>0.7898772392619382</v>
      </c>
      <c r="I231" s="120">
        <f t="shared" si="29"/>
        <v>0.62133370821940159</v>
      </c>
      <c r="J231" s="120">
        <f t="shared" si="29"/>
        <v>0.53995950763048628</v>
      </c>
      <c r="K231" s="120">
        <f t="shared" si="29"/>
        <v>0.55367231894180613</v>
      </c>
      <c r="L231" s="120">
        <f t="shared" si="29"/>
        <v>0.53724802262329019</v>
      </c>
      <c r="M231" s="120">
        <f t="shared" si="29"/>
        <v>0.48789122848347544</v>
      </c>
      <c r="N231" s="120">
        <f t="shared" si="29"/>
        <v>0.47789648081623581</v>
      </c>
      <c r="O231" s="120">
        <f t="shared" si="29"/>
        <v>0.48601697628713553</v>
      </c>
      <c r="P231" s="120">
        <f t="shared" si="29"/>
        <v>0.48441851378611911</v>
      </c>
      <c r="Q231" s="120">
        <f t="shared" si="29"/>
        <v>0.44265890610327663</v>
      </c>
      <c r="R231" s="120">
        <f t="shared" si="29"/>
        <v>0.42717883435319981</v>
      </c>
      <c r="S231" s="120">
        <f t="shared" si="29"/>
        <v>0.40369987622101672</v>
      </c>
      <c r="T231" s="120">
        <f t="shared" si="29"/>
        <v>0.37442389243727286</v>
      </c>
      <c r="U231" s="120">
        <f t="shared" si="29"/>
        <v>0.3482163960475998</v>
      </c>
      <c r="V231" s="120">
        <f t="shared" si="29"/>
        <v>0.35124159840284896</v>
      </c>
      <c r="W231" s="120">
        <f t="shared" si="29"/>
        <v>0.38675989309134395</v>
      </c>
      <c r="X231" s="120">
        <f>X180/X181</f>
        <v>0.36755898116209834</v>
      </c>
      <c r="Y231" s="60"/>
    </row>
    <row r="232" spans="2:25">
      <c r="C232" s="50"/>
      <c r="D232" s="132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61"/>
    </row>
    <row r="233" spans="2:25">
      <c r="E233" s="118"/>
      <c r="F233" s="118"/>
      <c r="G233" s="118"/>
      <c r="H233" s="118"/>
      <c r="I233" s="118"/>
      <c r="J233" s="118"/>
      <c r="K233" s="118"/>
      <c r="L233" s="117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</row>
    <row r="234" spans="2:25"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</row>
    <row r="235" spans="2:25">
      <c r="B235" s="92" t="s">
        <v>0</v>
      </c>
      <c r="C235" s="93" t="s">
        <v>1</v>
      </c>
      <c r="D235" s="95" t="s">
        <v>2</v>
      </c>
      <c r="E235" s="167">
        <v>2019</v>
      </c>
      <c r="F235" s="168"/>
      <c r="G235" s="168"/>
      <c r="H235" s="168"/>
      <c r="I235" s="167">
        <v>2020</v>
      </c>
      <c r="J235" s="168"/>
      <c r="K235" s="168"/>
      <c r="L235" s="168"/>
      <c r="M235" s="167">
        <v>2021</v>
      </c>
      <c r="N235" s="168"/>
      <c r="O235" s="168"/>
      <c r="P235" s="168"/>
      <c r="Q235" s="167">
        <v>2022</v>
      </c>
      <c r="R235" s="168"/>
      <c r="S235" s="168"/>
      <c r="T235" s="168"/>
      <c r="U235" s="167">
        <v>2023</v>
      </c>
      <c r="V235" s="168"/>
      <c r="W235" s="168"/>
      <c r="X235" s="168"/>
    </row>
    <row r="236" spans="2:25" hidden="1">
      <c r="B236" s="78"/>
      <c r="C236" s="65"/>
      <c r="D236" s="91"/>
      <c r="E236" s="170">
        <v>2019</v>
      </c>
      <c r="F236" s="170"/>
      <c r="G236" s="170"/>
      <c r="H236" s="170"/>
      <c r="I236" s="170">
        <v>2020</v>
      </c>
      <c r="J236" s="170"/>
      <c r="K236" s="170"/>
      <c r="L236" s="170"/>
      <c r="M236" s="170">
        <v>2021</v>
      </c>
      <c r="N236" s="170"/>
      <c r="O236" s="170"/>
      <c r="P236" s="170"/>
      <c r="Q236" s="170">
        <v>2022</v>
      </c>
      <c r="R236" s="170"/>
      <c r="S236" s="170"/>
      <c r="T236" s="170"/>
      <c r="U236" s="170">
        <v>2023</v>
      </c>
      <c r="V236" s="170"/>
      <c r="W236" s="170"/>
      <c r="X236" s="170"/>
      <c r="Y236" s="46"/>
    </row>
    <row r="237" spans="2:25">
      <c r="B237" s="78"/>
      <c r="C237" s="65"/>
      <c r="D237" s="91"/>
      <c r="E237" s="119" t="s">
        <v>5</v>
      </c>
      <c r="F237" s="119" t="s">
        <v>6</v>
      </c>
      <c r="G237" s="119" t="s">
        <v>7</v>
      </c>
      <c r="H237" s="119" t="s">
        <v>8</v>
      </c>
      <c r="I237" s="119" t="s">
        <v>5</v>
      </c>
      <c r="J237" s="119" t="s">
        <v>6</v>
      </c>
      <c r="K237" s="119" t="s">
        <v>7</v>
      </c>
      <c r="L237" s="119" t="s">
        <v>8</v>
      </c>
      <c r="M237" s="119" t="s">
        <v>5</v>
      </c>
      <c r="N237" s="119" t="s">
        <v>6</v>
      </c>
      <c r="O237" s="119" t="s">
        <v>7</v>
      </c>
      <c r="P237" s="119" t="s">
        <v>8</v>
      </c>
      <c r="Q237" s="119" t="s">
        <v>5</v>
      </c>
      <c r="R237" s="119" t="s">
        <v>6</v>
      </c>
      <c r="S237" s="119" t="s">
        <v>7</v>
      </c>
      <c r="T237" s="119" t="s">
        <v>8</v>
      </c>
      <c r="U237" s="119" t="s">
        <v>5</v>
      </c>
      <c r="V237" s="119" t="s">
        <v>6</v>
      </c>
      <c r="W237" s="119" t="s">
        <v>7</v>
      </c>
      <c r="X237" s="119" t="s">
        <v>8</v>
      </c>
    </row>
    <row r="238" spans="2:25" ht="17">
      <c r="B238" s="78">
        <v>1</v>
      </c>
      <c r="C238" s="63" t="str">
        <f t="shared" ref="C238:C252" si="30">C202</f>
        <v>BARAMULTI SUKSESSARANA TBK</v>
      </c>
      <c r="D238" s="68" t="s">
        <v>111</v>
      </c>
      <c r="E238" s="120">
        <f t="shared" ref="E238:X238" si="31">E8/E9</f>
        <v>0.42313245660344373</v>
      </c>
      <c r="F238" s="120">
        <f t="shared" si="31"/>
        <v>0.41751665873363453</v>
      </c>
      <c r="G238" s="120">
        <f t="shared" si="31"/>
        <v>0.40060573517972992</v>
      </c>
      <c r="H238" s="120">
        <f t="shared" si="31"/>
        <v>0.44427937852128763</v>
      </c>
      <c r="I238" s="120">
        <f t="shared" si="31"/>
        <v>0.37742953098481447</v>
      </c>
      <c r="J238" s="120">
        <f t="shared" si="31"/>
        <v>0.31999908090207407</v>
      </c>
      <c r="K238" s="120">
        <f t="shared" si="31"/>
        <v>0.25990225206440076</v>
      </c>
      <c r="L238" s="120">
        <f t="shared" si="31"/>
        <v>0.33387791428578634</v>
      </c>
      <c r="M238" s="120">
        <f t="shared" si="31"/>
        <v>0.30091448845578822</v>
      </c>
      <c r="N238" s="120">
        <f t="shared" si="31"/>
        <v>0.47908301431791328</v>
      </c>
      <c r="O238" s="120">
        <f t="shared" si="31"/>
        <v>0.63332103678186968</v>
      </c>
      <c r="P238" s="120">
        <f t="shared" si="31"/>
        <v>0.59235216026956483</v>
      </c>
      <c r="Q238" s="120">
        <f t="shared" si="31"/>
        <v>0.28020026652162022</v>
      </c>
      <c r="R238" s="120">
        <f t="shared" si="31"/>
        <v>0.73199781731524771</v>
      </c>
      <c r="S238" s="120">
        <f t="shared" si="31"/>
        <v>0.71464589087503794</v>
      </c>
      <c r="T238" s="120">
        <f t="shared" si="31"/>
        <v>0.75495399779920602</v>
      </c>
      <c r="U238" s="120">
        <f t="shared" si="31"/>
        <v>0.57908033886985932</v>
      </c>
      <c r="V238" s="120">
        <f t="shared" si="31"/>
        <v>0.66636124374131656</v>
      </c>
      <c r="W238" s="120">
        <f t="shared" si="31"/>
        <v>0.5834148924995165</v>
      </c>
      <c r="X238" s="120">
        <f t="shared" si="31"/>
        <v>0.68016197238168763</v>
      </c>
      <c r="Y238" s="61"/>
    </row>
    <row r="239" spans="2:25" ht="17">
      <c r="B239" s="78">
        <v>2</v>
      </c>
      <c r="C239" s="63" t="str">
        <f t="shared" si="30"/>
        <v>INDUSTRI JAMU &amp; FARMASI SIDO MUNCUL</v>
      </c>
      <c r="D239" s="68" t="s">
        <v>110</v>
      </c>
      <c r="E239" s="120">
        <f t="shared" ref="E239:X239" si="32">E14/E15</f>
        <v>5.817570841612405E-4</v>
      </c>
      <c r="F239" s="120">
        <f t="shared" si="32"/>
        <v>0.42985406907085477</v>
      </c>
      <c r="G239" s="120">
        <f t="shared" si="32"/>
        <v>0.20414856595317768</v>
      </c>
      <c r="H239" s="120">
        <f t="shared" si="32"/>
        <v>0.26599032116495075</v>
      </c>
      <c r="I239" s="120">
        <f t="shared" si="32"/>
        <v>0.1955855433141428</v>
      </c>
      <c r="J239" s="120">
        <f t="shared" si="32"/>
        <v>0.21166218901153525</v>
      </c>
      <c r="K239" s="120">
        <f t="shared" si="32"/>
        <v>0.21558038638095389</v>
      </c>
      <c r="L239" s="120">
        <f t="shared" si="32"/>
        <v>0.28007079331531548</v>
      </c>
      <c r="M239" s="120">
        <f t="shared" si="32"/>
        <v>0.19798668520227847</v>
      </c>
      <c r="N239" s="120">
        <f t="shared" si="32"/>
        <v>0.23986565698701179</v>
      </c>
      <c r="O239" s="120">
        <f t="shared" si="32"/>
        <v>0.30722710555587968</v>
      </c>
      <c r="P239" s="120">
        <f t="shared" si="32"/>
        <v>0.30586118845801269</v>
      </c>
      <c r="Q239" s="120">
        <f t="shared" si="32"/>
        <v>0.20526068314002618</v>
      </c>
      <c r="R239" s="120">
        <f t="shared" si="32"/>
        <v>0.20448282145967561</v>
      </c>
      <c r="S239" s="120">
        <f t="shared" si="32"/>
        <v>0.25915546378395049</v>
      </c>
      <c r="T239" s="120">
        <f t="shared" si="32"/>
        <v>0.30669283062211838</v>
      </c>
      <c r="U239" s="120">
        <f t="shared" si="32"/>
        <v>0.21500658786505777</v>
      </c>
      <c r="V239" s="120">
        <f t="shared" si="32"/>
        <v>0.46369637842786227</v>
      </c>
      <c r="W239" s="120">
        <f t="shared" si="32"/>
        <v>0.62926240650533904</v>
      </c>
      <c r="X239" s="120">
        <f t="shared" si="32"/>
        <v>0.91652517563650404</v>
      </c>
      <c r="Y239" s="61"/>
    </row>
    <row r="240" spans="2:25" ht="17">
      <c r="B240" s="78">
        <v>3</v>
      </c>
      <c r="C240" s="63" t="str">
        <f t="shared" si="30"/>
        <v xml:space="preserve">Siantar Top Tbk </v>
      </c>
      <c r="D240" s="68" t="s">
        <v>113</v>
      </c>
      <c r="E240" s="120">
        <f t="shared" ref="E240:X240" si="33">E20/E21</f>
        <v>0.30636789568328193</v>
      </c>
      <c r="F240" s="120">
        <f t="shared" si="33"/>
        <v>0.306846765398534</v>
      </c>
      <c r="G240" s="120">
        <f t="shared" si="33"/>
        <v>0.3379130547095871</v>
      </c>
      <c r="H240" s="120">
        <f t="shared" si="33"/>
        <v>0.31989973092628482</v>
      </c>
      <c r="I240" s="120">
        <f t="shared" si="33"/>
        <v>0.30446959821583003</v>
      </c>
      <c r="J240" s="120">
        <f t="shared" si="33"/>
        <v>0.27493455450593263</v>
      </c>
      <c r="K240" s="120">
        <f t="shared" si="33"/>
        <v>0.30767820358249243</v>
      </c>
      <c r="L240" s="120">
        <f t="shared" si="33"/>
        <v>0.29815370129616309</v>
      </c>
      <c r="M240" s="120">
        <f t="shared" si="33"/>
        <v>0.27461620765970096</v>
      </c>
      <c r="N240" s="120">
        <f t="shared" si="33"/>
        <v>0.26018556172106128</v>
      </c>
      <c r="O240" s="120">
        <f t="shared" si="33"/>
        <v>0.30214646163769909</v>
      </c>
      <c r="P240" s="120">
        <f t="shared" si="33"/>
        <v>0.30536173089969854</v>
      </c>
      <c r="Q240" s="120">
        <f t="shared" si="33"/>
        <v>0.28555651616979344</v>
      </c>
      <c r="R240" s="120">
        <f t="shared" si="33"/>
        <v>0.25867100927197129</v>
      </c>
      <c r="S240" s="120">
        <f t="shared" si="33"/>
        <v>0.30546546541518427</v>
      </c>
      <c r="T240" s="120">
        <f t="shared" si="33"/>
        <v>0.29544246934113089</v>
      </c>
      <c r="U240" s="120">
        <f t="shared" si="33"/>
        <v>0.25926658209626213</v>
      </c>
      <c r="V240" s="120">
        <f t="shared" si="33"/>
        <v>0.22164549279955423</v>
      </c>
      <c r="W240" s="120">
        <f t="shared" si="33"/>
        <v>0.24441240500463488</v>
      </c>
      <c r="X240" s="120">
        <f t="shared" si="33"/>
        <v>0.20869696918733238</v>
      </c>
      <c r="Y240" s="61"/>
    </row>
    <row r="241" spans="2:25" ht="17">
      <c r="B241" s="78">
        <v>4</v>
      </c>
      <c r="C241" s="63" t="str">
        <f t="shared" si="30"/>
        <v>Akasha Wira International Tbk</v>
      </c>
      <c r="D241" s="68" t="s">
        <v>115</v>
      </c>
      <c r="E241" s="120">
        <f t="shared" ref="E241:X241" si="34">E26/E27</f>
        <v>2.2080605354364902E-2</v>
      </c>
      <c r="F241" s="120">
        <f t="shared" si="34"/>
        <v>0.44315632270931049</v>
      </c>
      <c r="G241" s="120">
        <f t="shared" si="34"/>
        <v>0.25891594467244261</v>
      </c>
      <c r="H241" s="120">
        <f t="shared" si="34"/>
        <v>0.26545797233622132</v>
      </c>
      <c r="I241" s="120">
        <f t="shared" si="34"/>
        <v>0.23521471058280613</v>
      </c>
      <c r="J241" s="120">
        <f t="shared" si="34"/>
        <v>0.14777659752619812</v>
      </c>
      <c r="K241" s="120">
        <f t="shared" si="34"/>
        <v>0.18588261192345146</v>
      </c>
      <c r="L241" s="120">
        <f t="shared" si="34"/>
        <v>0.19605941232239352</v>
      </c>
      <c r="M241" s="120">
        <f t="shared" si="34"/>
        <v>1.8217984556796987E-2</v>
      </c>
      <c r="N241" s="120">
        <f t="shared" si="34"/>
        <v>0.33485809394278671</v>
      </c>
      <c r="O241" s="120">
        <f t="shared" si="34"/>
        <v>0.20976530103412355</v>
      </c>
      <c r="P241" s="120">
        <f t="shared" si="34"/>
        <v>0.24461317620933234</v>
      </c>
      <c r="Q241" s="120">
        <f t="shared" si="34"/>
        <v>0.21309806165199538</v>
      </c>
      <c r="R241" s="120">
        <f t="shared" si="34"/>
        <v>0.21019635530597364</v>
      </c>
      <c r="S241" s="120">
        <f t="shared" si="34"/>
        <v>0.20807829966024327</v>
      </c>
      <c r="T241" s="120">
        <f t="shared" si="34"/>
        <v>0.22289925388099774</v>
      </c>
      <c r="U241" s="120">
        <f t="shared" si="34"/>
        <v>0.21304283656757816</v>
      </c>
      <c r="V241" s="120">
        <f t="shared" si="34"/>
        <v>0.19200214373296451</v>
      </c>
      <c r="W241" s="120">
        <f t="shared" si="34"/>
        <v>0.18778116391166827</v>
      </c>
      <c r="X241" s="120">
        <f t="shared" si="34"/>
        <v>0.20603189553717613</v>
      </c>
      <c r="Y241" s="61"/>
    </row>
    <row r="242" spans="2:25" ht="17">
      <c r="B242" s="78">
        <v>5</v>
      </c>
      <c r="C242" s="63" t="str">
        <f t="shared" si="30"/>
        <v>PT SELAMAT SEMPURNA Tbk</v>
      </c>
      <c r="D242" s="68" t="s">
        <v>136</v>
      </c>
      <c r="E242" s="120">
        <f t="shared" ref="E242:X242" si="35">E32/E33</f>
        <v>0.29966412758106264</v>
      </c>
      <c r="F242" s="120">
        <f t="shared" si="35"/>
        <v>0.29593704325858483</v>
      </c>
      <c r="G242" s="120">
        <f t="shared" si="35"/>
        <v>0.3402737602906894</v>
      </c>
      <c r="H242" s="120">
        <f t="shared" si="35"/>
        <v>0.3701750992362039</v>
      </c>
      <c r="I242" s="120">
        <f t="shared" si="35"/>
        <v>0.22945504220324933</v>
      </c>
      <c r="J242" s="120">
        <f t="shared" si="35"/>
        <v>0.19634297507772894</v>
      </c>
      <c r="K242" s="120">
        <f t="shared" si="35"/>
        <v>0.2590899096938038</v>
      </c>
      <c r="L242" s="120">
        <f t="shared" si="35"/>
        <v>0.27569925398293482</v>
      </c>
      <c r="M242" s="120">
        <f t="shared" si="35"/>
        <v>0.25827239540381258</v>
      </c>
      <c r="N242" s="120">
        <f t="shared" si="35"/>
        <v>0.25154374331728518</v>
      </c>
      <c r="O242" s="120">
        <f t="shared" si="35"/>
        <v>0.27294777299677569</v>
      </c>
      <c r="P242" s="120">
        <f t="shared" si="35"/>
        <v>0.29463185815363796</v>
      </c>
      <c r="Q242" s="120">
        <f t="shared" si="35"/>
        <v>0.28779092387991362</v>
      </c>
      <c r="R242" s="120">
        <f t="shared" si="35"/>
        <v>0.26698512051310441</v>
      </c>
      <c r="S242" s="120">
        <f t="shared" si="35"/>
        <v>0.30633820725164784</v>
      </c>
      <c r="T242" s="120">
        <f t="shared" si="35"/>
        <v>0.28427928085292253</v>
      </c>
      <c r="U242" s="120">
        <f t="shared" si="35"/>
        <v>0.27951176373492437</v>
      </c>
      <c r="V242" s="120">
        <f t="shared" si="35"/>
        <v>0.27550715185757302</v>
      </c>
      <c r="W242" s="120">
        <f t="shared" si="35"/>
        <v>0.2839695803708967</v>
      </c>
      <c r="X242" s="120">
        <f t="shared" si="35"/>
        <v>0.29222152783743438</v>
      </c>
      <c r="Y242" s="61"/>
    </row>
    <row r="243" spans="2:25" ht="17">
      <c r="B243" s="78">
        <v>6</v>
      </c>
      <c r="C243" s="63" t="str">
        <f t="shared" si="30"/>
        <v>Aneka Tambang Tbk.</v>
      </c>
      <c r="D243" s="68" t="s">
        <v>118</v>
      </c>
      <c r="E243" s="120">
        <f t="shared" ref="E243:X243" si="36">E38/E39</f>
        <v>0.18509682715788536</v>
      </c>
      <c r="F243" s="120">
        <f t="shared" si="36"/>
        <v>0.99429704919272099</v>
      </c>
      <c r="G243" s="120">
        <f t="shared" si="36"/>
        <v>0.30963190246798655</v>
      </c>
      <c r="H243" s="120">
        <f t="shared" si="36"/>
        <v>0.2709531776335658</v>
      </c>
      <c r="I243" s="120">
        <f t="shared" si="36"/>
        <v>0.1690718692496726</v>
      </c>
      <c r="J243" s="120">
        <f t="shared" si="36"/>
        <v>0.13397032515430898</v>
      </c>
      <c r="K243" s="120">
        <f t="shared" si="36"/>
        <v>0.28447220389594058</v>
      </c>
      <c r="L243" s="120">
        <f t="shared" si="36"/>
        <v>0.29420937832261651</v>
      </c>
      <c r="M243" s="120">
        <f t="shared" si="36"/>
        <v>0.28174542189575891</v>
      </c>
      <c r="N243" s="120">
        <f t="shared" si="36"/>
        <v>0.24975182858987913</v>
      </c>
      <c r="O243" s="120">
        <f t="shared" si="36"/>
        <v>0.2763063417110902</v>
      </c>
      <c r="P243" s="120">
        <f t="shared" si="36"/>
        <v>0.36363118242793491</v>
      </c>
      <c r="Q243" s="120">
        <f t="shared" si="36"/>
        <v>0.30216794295818306</v>
      </c>
      <c r="R243" s="120">
        <f t="shared" si="36"/>
        <v>0.27981940742689931</v>
      </c>
      <c r="S243" s="120">
        <f t="shared" si="36"/>
        <v>0.441255944798157</v>
      </c>
      <c r="T243" s="120">
        <f t="shared" si="36"/>
        <v>0.36409764038230091</v>
      </c>
      <c r="U243" s="120">
        <f t="shared" si="36"/>
        <v>0.33186734601486745</v>
      </c>
      <c r="V243" s="120">
        <f t="shared" si="36"/>
        <v>0.27682522091956852</v>
      </c>
      <c r="W243" s="120">
        <f t="shared" si="36"/>
        <v>0.26022039500713362</v>
      </c>
      <c r="X243" s="120">
        <f t="shared" si="36"/>
        <v>0.23683543163853799</v>
      </c>
      <c r="Y243" s="61"/>
    </row>
    <row r="244" spans="2:25" ht="17">
      <c r="B244" s="78">
        <v>7</v>
      </c>
      <c r="C244" s="63" t="str">
        <f t="shared" si="30"/>
        <v xml:space="preserve">Indo Tambangraya Megah Tbk </v>
      </c>
      <c r="D244" s="68" t="s">
        <v>120</v>
      </c>
      <c r="E244" s="120">
        <f t="shared" ref="E244:X244" si="37">E44/E45</f>
        <v>0.30828303311988348</v>
      </c>
      <c r="F244" s="120">
        <f t="shared" si="37"/>
        <v>0.29919905274547298</v>
      </c>
      <c r="G244" s="120">
        <f t="shared" si="37"/>
        <v>0.31495432891284392</v>
      </c>
      <c r="H244" s="120">
        <f t="shared" si="37"/>
        <v>0.31398595358982923</v>
      </c>
      <c r="I244" s="120">
        <f t="shared" si="37"/>
        <v>0.29528166524904653</v>
      </c>
      <c r="J244" s="120">
        <f t="shared" si="37"/>
        <v>0.2333626605093162</v>
      </c>
      <c r="K244" s="120">
        <f t="shared" si="37"/>
        <v>0.18584214063944898</v>
      </c>
      <c r="L244" s="120">
        <f t="shared" si="37"/>
        <v>0.27053698811267457</v>
      </c>
      <c r="M244" s="120">
        <f t="shared" si="37"/>
        <v>2.3658060128960733E-2</v>
      </c>
      <c r="N244" s="120">
        <f t="shared" si="37"/>
        <v>0.49284443365934588</v>
      </c>
      <c r="O244" s="120">
        <f t="shared" si="37"/>
        <v>0.42864089246912929</v>
      </c>
      <c r="P244" s="120">
        <f t="shared" si="37"/>
        <v>0.45219683370752933</v>
      </c>
      <c r="Q244" s="120">
        <f t="shared" si="37"/>
        <v>0.32422026994163422</v>
      </c>
      <c r="R244" s="120">
        <f t="shared" si="37"/>
        <v>0.39599951361867702</v>
      </c>
      <c r="S244" s="120">
        <f t="shared" si="37"/>
        <v>0.47905967914266984</v>
      </c>
      <c r="T244" s="120">
        <f t="shared" si="37"/>
        <v>0.38625251261563143</v>
      </c>
      <c r="U244" s="120">
        <f t="shared" si="37"/>
        <v>0.24692045440630192</v>
      </c>
      <c r="V244" s="120">
        <f t="shared" si="37"/>
        <v>0.27552042617449213</v>
      </c>
      <c r="W244" s="120">
        <f t="shared" si="37"/>
        <v>0.24547180233924498</v>
      </c>
      <c r="X244" s="120">
        <f t="shared" si="37"/>
        <v>0.25031594988132166</v>
      </c>
      <c r="Y244" s="61"/>
    </row>
    <row r="245" spans="2:25" ht="17">
      <c r="B245" s="78">
        <v>8</v>
      </c>
      <c r="C245" s="63" t="str">
        <f t="shared" si="30"/>
        <v xml:space="preserve">Tambang Batubara Bukit Asam Tbk </v>
      </c>
      <c r="D245" s="68" t="s">
        <v>122</v>
      </c>
      <c r="E245" s="120">
        <f t="shared" ref="E245:X245" si="38">E50/E51</f>
        <v>0.21496896826442488</v>
      </c>
      <c r="F245" s="120">
        <f t="shared" si="38"/>
        <v>0.20918574391859646</v>
      </c>
      <c r="G245" s="120">
        <f t="shared" si="38"/>
        <v>0.22349730438270707</v>
      </c>
      <c r="H245" s="120">
        <f t="shared" si="38"/>
        <v>0.21202774061451024</v>
      </c>
      <c r="I245" s="120">
        <f t="shared" si="38"/>
        <v>0.18473659791518618</v>
      </c>
      <c r="J245" s="120">
        <f t="shared" si="38"/>
        <v>0.14464932415427809</v>
      </c>
      <c r="K245" s="120">
        <f t="shared" si="38"/>
        <v>0.15655265367180154</v>
      </c>
      <c r="L245" s="120">
        <f t="shared" si="38"/>
        <v>0.18607359970203796</v>
      </c>
      <c r="M245" s="120">
        <f t="shared" si="38"/>
        <v>0.16288425606652293</v>
      </c>
      <c r="N245" s="120">
        <f t="shared" si="38"/>
        <v>0.23282233432750984</v>
      </c>
      <c r="O245" s="120">
        <f t="shared" si="38"/>
        <v>0.28239099329815598</v>
      </c>
      <c r="P245" s="120">
        <f t="shared" si="38"/>
        <v>0.27349491274468735</v>
      </c>
      <c r="Q245" s="120">
        <f t="shared" si="38"/>
        <v>0.2104432600798524</v>
      </c>
      <c r="R245" s="120">
        <f t="shared" si="38"/>
        <v>0.28451941809156372</v>
      </c>
      <c r="S245" s="120">
        <f t="shared" si="38"/>
        <v>0.30685993880171308</v>
      </c>
      <c r="T245" s="120">
        <f t="shared" si="38"/>
        <v>0.25524542349252272</v>
      </c>
      <c r="U245" s="120">
        <f t="shared" si="38"/>
        <v>0.21470298406729299</v>
      </c>
      <c r="V245" s="120">
        <f t="shared" si="38"/>
        <v>0.19230760755321896</v>
      </c>
      <c r="W245" s="120">
        <f t="shared" si="38"/>
        <v>0.24660918416167418</v>
      </c>
      <c r="X245" s="120">
        <f t="shared" si="38"/>
        <v>0.27734310801373885</v>
      </c>
      <c r="Y245" s="61"/>
    </row>
    <row r="246" spans="2:25" ht="17">
      <c r="B246" s="78">
        <v>9</v>
      </c>
      <c r="C246" s="63" t="str">
        <f t="shared" si="30"/>
        <v>Kalbe Farma Tbk</v>
      </c>
      <c r="D246" s="68" t="s">
        <v>124</v>
      </c>
      <c r="E246" s="120">
        <f t="shared" ref="E246:X246" si="39">E56/E57</f>
        <v>0.27977635806161449</v>
      </c>
      <c r="F246" s="120">
        <f t="shared" si="39"/>
        <v>0.30899578634850616</v>
      </c>
      <c r="G246" s="120">
        <f t="shared" si="39"/>
        <v>0.28825973676550881</v>
      </c>
      <c r="H246" s="120">
        <f t="shared" si="39"/>
        <v>0.28654068195600535</v>
      </c>
      <c r="I246" s="120">
        <f t="shared" si="39"/>
        <v>0.26186394004896091</v>
      </c>
      <c r="J246" s="120">
        <f t="shared" si="39"/>
        <v>0.26295197371856133</v>
      </c>
      <c r="K246" s="120">
        <f t="shared" si="39"/>
        <v>0.24459661413091185</v>
      </c>
      <c r="L246" s="120">
        <f t="shared" si="39"/>
        <v>0.26665205878372339</v>
      </c>
      <c r="M246" s="120">
        <f t="shared" si="39"/>
        <v>0.25136100669877331</v>
      </c>
      <c r="N246" s="120">
        <f t="shared" si="39"/>
        <v>0.27149516382864808</v>
      </c>
      <c r="O246" s="120">
        <f t="shared" si="39"/>
        <v>0.27726255485098028</v>
      </c>
      <c r="P246" s="120">
        <f t="shared" si="39"/>
        <v>0.2790587619206884</v>
      </c>
      <c r="Q246" s="120">
        <f t="shared" si="39"/>
        <v>0.26117991908032989</v>
      </c>
      <c r="R246" s="120">
        <f t="shared" si="39"/>
        <v>0.27149531394780796</v>
      </c>
      <c r="S246" s="120">
        <f t="shared" si="39"/>
        <v>0.27903699118609476</v>
      </c>
      <c r="T246" s="120">
        <f t="shared" si="39"/>
        <v>0.284557943557943</v>
      </c>
      <c r="U246" s="120">
        <f t="shared" si="39"/>
        <v>0.27865614007525491</v>
      </c>
      <c r="V246" s="120">
        <f t="shared" si="39"/>
        <v>0.26658949792647263</v>
      </c>
      <c r="W246" s="120">
        <f t="shared" si="39"/>
        <v>0.27158197879211987</v>
      </c>
      <c r="X246" s="120">
        <f t="shared" si="39"/>
        <v>0.29153128657723937</v>
      </c>
      <c r="Y246" s="61"/>
    </row>
    <row r="247" spans="2:25" ht="17">
      <c r="B247" s="78">
        <v>10</v>
      </c>
      <c r="C247" s="63" t="str">
        <f t="shared" si="30"/>
        <v>Pakuwon Jati Tbk</v>
      </c>
      <c r="D247" s="68" t="s">
        <v>126</v>
      </c>
      <c r="E247" s="120">
        <f t="shared" ref="E247:X247" si="40">E62/E63</f>
        <v>6.7207471480202285E-2</v>
      </c>
      <c r="F247" s="120">
        <f t="shared" si="40"/>
        <v>6.9923980888977708E-2</v>
      </c>
      <c r="G247" s="120">
        <f t="shared" si="40"/>
        <v>6.7645326054412647E-2</v>
      </c>
      <c r="H247" s="120">
        <f t="shared" si="40"/>
        <v>7.5170531179353794E-2</v>
      </c>
      <c r="I247" s="120">
        <f t="shared" si="40"/>
        <v>6.2302995233043973E-2</v>
      </c>
      <c r="J247" s="120">
        <f t="shared" si="40"/>
        <v>1.2214780538337458E-2</v>
      </c>
      <c r="K247" s="120">
        <f t="shared" si="40"/>
        <v>4.1177631131964036E-2</v>
      </c>
      <c r="L247" s="120">
        <f t="shared" si="40"/>
        <v>3.5168787204915987E-2</v>
      </c>
      <c r="M247" s="120">
        <f t="shared" si="40"/>
        <v>4.1862806123718746E-2</v>
      </c>
      <c r="N247" s="120">
        <f t="shared" si="40"/>
        <v>4.6271655007460701E-2</v>
      </c>
      <c r="O247" s="120">
        <f t="shared" si="40"/>
        <v>4.6332241840129233E-2</v>
      </c>
      <c r="P247" s="120">
        <f t="shared" si="40"/>
        <v>6.6687446155136873E-2</v>
      </c>
      <c r="Q247" s="120">
        <f t="shared" si="40"/>
        <v>4.398014498705085E-2</v>
      </c>
      <c r="R247" s="120">
        <f t="shared" si="40"/>
        <v>4.8573978971717204E-2</v>
      </c>
      <c r="S247" s="120">
        <f t="shared" si="40"/>
        <v>5.8078544857691233E-2</v>
      </c>
      <c r="T247" s="120">
        <f t="shared" si="40"/>
        <v>4.8760203720645295E-2</v>
      </c>
      <c r="U247" s="120">
        <f t="shared" si="40"/>
        <v>4.4332101424041599E-2</v>
      </c>
      <c r="V247" s="120">
        <f t="shared" si="40"/>
        <v>4.7873288431929777E-2</v>
      </c>
      <c r="W247" s="120">
        <f t="shared" si="40"/>
        <v>5.2179728291551132E-2</v>
      </c>
      <c r="X247" s="120">
        <f t="shared" si="40"/>
        <v>4.9867331955288773E-2</v>
      </c>
      <c r="Y247" s="61"/>
    </row>
    <row r="248" spans="2:25" ht="17">
      <c r="B248" s="78">
        <v>11</v>
      </c>
      <c r="C248" s="63" t="str">
        <f t="shared" si="30"/>
        <v>Surya Citra Media Tbk</v>
      </c>
      <c r="D248" s="68" t="s">
        <v>128</v>
      </c>
      <c r="E248" s="120">
        <f t="shared" ref="E248:X248" si="41">E68/E69</f>
        <v>0.19047958246754312</v>
      </c>
      <c r="F248" s="120">
        <f t="shared" si="41"/>
        <v>0.21960972592967123</v>
      </c>
      <c r="G248" s="120">
        <f t="shared" si="41"/>
        <v>0.19384877031986711</v>
      </c>
      <c r="H248" s="120">
        <f t="shared" si="41"/>
        <v>0.20516922133805809</v>
      </c>
      <c r="I248" s="120">
        <f t="shared" si="41"/>
        <v>0.18147324903839779</v>
      </c>
      <c r="J248" s="120">
        <f t="shared" si="41"/>
        <v>0.15568403968149494</v>
      </c>
      <c r="K248" s="120">
        <f t="shared" si="41"/>
        <v>0.17756340011055935</v>
      </c>
      <c r="L248" s="120">
        <f t="shared" si="41"/>
        <v>0.22405746680802302</v>
      </c>
      <c r="M248" s="120">
        <f t="shared" si="41"/>
        <v>0.20463933927647762</v>
      </c>
      <c r="N248" s="120">
        <f t="shared" si="41"/>
        <v>0.22271541014788199</v>
      </c>
      <c r="O248" s="120">
        <f t="shared" si="41"/>
        <v>0.20656728340018204</v>
      </c>
      <c r="P248" s="120">
        <f t="shared" si="41"/>
        <v>0.15529717296536241</v>
      </c>
      <c r="Q248" s="120">
        <f t="shared" si="41"/>
        <v>0.1512861252713881</v>
      </c>
      <c r="R248" s="120">
        <f t="shared" si="41"/>
        <v>0.14340069771577443</v>
      </c>
      <c r="S248" s="120">
        <f t="shared" si="41"/>
        <v>0.15742330656639192</v>
      </c>
      <c r="T248" s="120">
        <f t="shared" si="41"/>
        <v>0.19898965213359404</v>
      </c>
      <c r="U248" s="120">
        <f t="shared" si="41"/>
        <v>0.14377143781499313</v>
      </c>
      <c r="V248" s="120">
        <f t="shared" si="41"/>
        <v>0.14240286168490757</v>
      </c>
      <c r="W248" s="120">
        <f t="shared" si="41"/>
        <v>0.16726710596696831</v>
      </c>
      <c r="X248" s="120">
        <f t="shared" si="41"/>
        <v>0.15587771152327609</v>
      </c>
      <c r="Y248" s="61"/>
    </row>
    <row r="249" spans="2:25" ht="17">
      <c r="B249" s="78">
        <v>12</v>
      </c>
      <c r="C249" s="63" t="str">
        <f t="shared" si="30"/>
        <v>United Tractors Tbk</v>
      </c>
      <c r="D249" s="68" t="s">
        <v>130</v>
      </c>
      <c r="E249" s="120">
        <f t="shared" ref="E249:X249" si="42">E74/E75</f>
        <v>0.1934690976191091</v>
      </c>
      <c r="F249" s="120">
        <f t="shared" si="42"/>
        <v>0.17344037568029635</v>
      </c>
      <c r="G249" s="120">
        <f t="shared" si="42"/>
        <v>0.18676829403285286</v>
      </c>
      <c r="H249" s="120">
        <f t="shared" si="42"/>
        <v>0.16848961908097396</v>
      </c>
      <c r="I249" s="120">
        <f t="shared" si="42"/>
        <v>0.15937892651989305</v>
      </c>
      <c r="J249" s="120">
        <f t="shared" si="42"/>
        <v>0.14275105236231811</v>
      </c>
      <c r="K249" s="120">
        <f t="shared" si="42"/>
        <v>0.12692097349644196</v>
      </c>
      <c r="L249" s="120">
        <f t="shared" si="42"/>
        <v>0.13907989044153812</v>
      </c>
      <c r="M249" s="120">
        <f t="shared" si="42"/>
        <v>0.16996314476831564</v>
      </c>
      <c r="N249" s="120">
        <f t="shared" si="42"/>
        <v>0.18166834011720659</v>
      </c>
      <c r="O249" s="120">
        <f t="shared" si="42"/>
        <v>0.18530287917006805</v>
      </c>
      <c r="P249" s="120">
        <f t="shared" si="42"/>
        <v>0.192234153611298</v>
      </c>
      <c r="Q249" s="120">
        <f t="shared" si="42"/>
        <v>0.23297208398085703</v>
      </c>
      <c r="R249" s="120">
        <f t="shared" si="42"/>
        <v>0.25122878448133062</v>
      </c>
      <c r="S249" s="120">
        <f t="shared" si="42"/>
        <v>0.22177545333186247</v>
      </c>
      <c r="T249" s="120">
        <f t="shared" si="42"/>
        <v>0.22832125150788499</v>
      </c>
      <c r="U249" s="120">
        <f t="shared" si="42"/>
        <v>0.23151001735607285</v>
      </c>
      <c r="V249" s="120">
        <f t="shared" si="42"/>
        <v>0.2512813510997281</v>
      </c>
      <c r="W249" s="120">
        <f t="shared" si="42"/>
        <v>0.18884910001284433</v>
      </c>
      <c r="X249" s="120">
        <f t="shared" si="42"/>
        <v>0.20116894402382607</v>
      </c>
      <c r="Y249" s="61"/>
    </row>
    <row r="250" spans="2:25" ht="17">
      <c r="B250" s="78">
        <v>13</v>
      </c>
      <c r="C250" s="63" t="str">
        <f t="shared" si="30"/>
        <v>Vale Indonesia Tbk</v>
      </c>
      <c r="D250" s="68" t="s">
        <v>133</v>
      </c>
      <c r="E250" s="120">
        <f t="shared" ref="E250:X250" si="43">E80/E81</f>
        <v>5.9096288789710551E-2</v>
      </c>
      <c r="F250" s="120">
        <f t="shared" si="43"/>
        <v>7.8602557988951591E-2</v>
      </c>
      <c r="G250" s="120">
        <f t="shared" si="43"/>
        <v>0.10153979899754743</v>
      </c>
      <c r="H250" s="120">
        <f t="shared" si="43"/>
        <v>0.12397196547603623</v>
      </c>
      <c r="I250" s="120">
        <f t="shared" si="43"/>
        <v>7.9478314209162126E-2</v>
      </c>
      <c r="J250" s="120">
        <f t="shared" si="43"/>
        <v>8.3011621841606653E-2</v>
      </c>
      <c r="K250" s="120">
        <f t="shared" si="43"/>
        <v>9.2453214441527154E-2</v>
      </c>
      <c r="L250" s="120">
        <f t="shared" si="43"/>
        <v>8.3694437795994045E-2</v>
      </c>
      <c r="M250" s="120">
        <f t="shared" si="43"/>
        <v>8.8768013174564703E-2</v>
      </c>
      <c r="N250" s="120">
        <f t="shared" si="43"/>
        <v>8.9186607457724609E-2</v>
      </c>
      <c r="O250" s="120">
        <f t="shared" si="43"/>
        <v>0.11298259895018563</v>
      </c>
      <c r="P250" s="120">
        <f t="shared" si="43"/>
        <v>0.10786880446193589</v>
      </c>
      <c r="Q250" s="120">
        <f t="shared" si="43"/>
        <v>9.2410822386937916E-2</v>
      </c>
      <c r="R250" s="120">
        <f t="shared" si="43"/>
        <v>0.12587846241138004</v>
      </c>
      <c r="S250" s="120">
        <f t="shared" si="43"/>
        <v>0.11645657427321263</v>
      </c>
      <c r="T250" s="120">
        <f t="shared" si="43"/>
        <v>0.11499686243941197</v>
      </c>
      <c r="U250" s="120">
        <f t="shared" si="43"/>
        <v>1.3000573817936839E-2</v>
      </c>
      <c r="V250" s="120">
        <f t="shared" si="43"/>
        <v>0.22166673430779277</v>
      </c>
      <c r="W250" s="120">
        <f t="shared" si="43"/>
        <v>9.7437782017070276E-2</v>
      </c>
      <c r="X250" s="120">
        <f t="shared" si="43"/>
        <v>0.10060393048664747</v>
      </c>
      <c r="Y250" s="61"/>
    </row>
    <row r="251" spans="2:25" ht="17">
      <c r="B251" s="78">
        <v>14</v>
      </c>
      <c r="C251" s="63" t="str">
        <f t="shared" si="30"/>
        <v xml:space="preserve">PT Chitose Internasional Tbk </v>
      </c>
      <c r="D251" s="68" t="s">
        <v>132</v>
      </c>
      <c r="E251" s="120">
        <f t="shared" ref="E251:X251" si="44">E86/E87</f>
        <v>0.14793146179739206</v>
      </c>
      <c r="F251" s="120">
        <f t="shared" si="44"/>
        <v>0.16255607601699698</v>
      </c>
      <c r="G251" s="120">
        <f t="shared" si="44"/>
        <v>0.21658072004260495</v>
      </c>
      <c r="H251" s="120">
        <f t="shared" si="44"/>
        <v>0.28627121813253753</v>
      </c>
      <c r="I251" s="120">
        <f t="shared" si="44"/>
        <v>0.13601871334174326</v>
      </c>
      <c r="J251" s="120">
        <f t="shared" si="44"/>
        <v>0.12619230655717356</v>
      </c>
      <c r="K251" s="120">
        <f t="shared" si="44"/>
        <v>0.12677598642379218</v>
      </c>
      <c r="L251" s="120">
        <f t="shared" si="44"/>
        <v>0.26189512419400457</v>
      </c>
      <c r="M251" s="120">
        <f t="shared" si="44"/>
        <v>0.10317273011473964</v>
      </c>
      <c r="N251" s="120">
        <f t="shared" si="44"/>
        <v>0.12460078504595959</v>
      </c>
      <c r="O251" s="120">
        <f t="shared" si="44"/>
        <v>0.16114003328360263</v>
      </c>
      <c r="P251" s="120">
        <f t="shared" si="44"/>
        <v>0.18543153513816268</v>
      </c>
      <c r="Q251" s="120">
        <f t="shared" si="44"/>
        <v>0.1409470780060989</v>
      </c>
      <c r="R251" s="120">
        <f t="shared" si="44"/>
        <v>0.12852858910544207</v>
      </c>
      <c r="S251" s="120">
        <f t="shared" si="44"/>
        <v>0.23441873764287657</v>
      </c>
      <c r="T251" s="120">
        <f t="shared" si="44"/>
        <v>0.35798391301867105</v>
      </c>
      <c r="U251" s="120">
        <f t="shared" si="44"/>
        <v>0.17982746414344444</v>
      </c>
      <c r="V251" s="120">
        <f t="shared" si="44"/>
        <v>0.214407665171646</v>
      </c>
      <c r="W251" s="120">
        <f t="shared" si="44"/>
        <v>0.18840694324950588</v>
      </c>
      <c r="X251" s="120">
        <f t="shared" si="44"/>
        <v>0.36381719513935978</v>
      </c>
      <c r="Y251" s="61"/>
    </row>
    <row r="252" spans="2:25" ht="17">
      <c r="B252" s="78">
        <v>15</v>
      </c>
      <c r="C252" s="63" t="str">
        <f t="shared" si="30"/>
        <v>Ekadharma International Tbk</v>
      </c>
      <c r="D252" s="68" t="s">
        <v>135</v>
      </c>
      <c r="E252" s="120">
        <f t="shared" ref="E252:X252" si="45">E92/E93</f>
        <v>0.22314605929572781</v>
      </c>
      <c r="F252" s="120">
        <f t="shared" si="45"/>
        <v>0.20472804133389186</v>
      </c>
      <c r="G252" s="120">
        <f t="shared" si="45"/>
        <v>0.23617362678360371</v>
      </c>
      <c r="H252" s="120">
        <f t="shared" si="45"/>
        <v>0.18420354961805327</v>
      </c>
      <c r="I252" s="120">
        <f t="shared" si="45"/>
        <v>0.18979887518261121</v>
      </c>
      <c r="J252" s="120">
        <f t="shared" si="45"/>
        <v>0.14722424628132691</v>
      </c>
      <c r="K252" s="120">
        <f t="shared" si="45"/>
        <v>0.15973395104240018</v>
      </c>
      <c r="L252" s="120">
        <f t="shared" si="45"/>
        <v>0.15785544909799501</v>
      </c>
      <c r="M252" s="120">
        <f t="shared" si="45"/>
        <v>0.13686927302277305</v>
      </c>
      <c r="N252" s="120">
        <f t="shared" si="45"/>
        <v>0.12392847313266769</v>
      </c>
      <c r="O252" s="120">
        <f t="shared" si="45"/>
        <v>0.13191052189643232</v>
      </c>
      <c r="P252" s="120">
        <f t="shared" si="45"/>
        <v>0.15565056795541968</v>
      </c>
      <c r="Q252" s="120">
        <f t="shared" si="45"/>
        <v>0.14940236994224051</v>
      </c>
      <c r="R252" s="120">
        <f t="shared" si="45"/>
        <v>0.11414353513424931</v>
      </c>
      <c r="S252" s="120">
        <f t="shared" si="45"/>
        <v>0.13430900751430483</v>
      </c>
      <c r="T252" s="120">
        <f t="shared" si="45"/>
        <v>0.11971524370637812</v>
      </c>
      <c r="U252" s="120">
        <f t="shared" si="45"/>
        <v>0.11446327815056796</v>
      </c>
      <c r="V252" s="120">
        <f t="shared" si="45"/>
        <v>9.6018823887431617E-2</v>
      </c>
      <c r="W252" s="120">
        <f t="shared" si="45"/>
        <v>0.10783821217078024</v>
      </c>
      <c r="X252" s="120">
        <f t="shared" si="45"/>
        <v>0.10271954933002431</v>
      </c>
      <c r="Y252" s="61"/>
    </row>
    <row r="253" spans="2:25" ht="17">
      <c r="B253" s="78">
        <v>16</v>
      </c>
      <c r="C253" s="63" t="str">
        <f>C95</f>
        <v xml:space="preserve">PT Borneo Olah Sarana Sukses Tbk </v>
      </c>
      <c r="D253" s="68" t="s">
        <v>139</v>
      </c>
      <c r="E253" s="120">
        <f>E98/E99</f>
        <v>0.16611241142257019</v>
      </c>
      <c r="F253" s="120">
        <f t="shared" ref="F253:X253" si="46">F98/F99</f>
        <v>0.18428076654802325</v>
      </c>
      <c r="G253" s="120">
        <f t="shared" si="46"/>
        <v>9.5858636493308461E-2</v>
      </c>
      <c r="H253" s="120">
        <f t="shared" si="46"/>
        <v>2.0111232992059764E-2</v>
      </c>
      <c r="I253" s="120">
        <f t="shared" si="46"/>
        <v>9.3793500908051705E-2</v>
      </c>
      <c r="J253" s="120">
        <f t="shared" si="46"/>
        <v>0.17702883120953627</v>
      </c>
      <c r="K253" s="120">
        <f t="shared" si="46"/>
        <v>1.8900434677757288E-2</v>
      </c>
      <c r="L253" s="120">
        <f t="shared" si="46"/>
        <v>6.8493369291846608E-3</v>
      </c>
      <c r="M253" s="120">
        <f t="shared" si="46"/>
        <v>2.0587061806009027E-2</v>
      </c>
      <c r="N253" s="120">
        <f t="shared" si="46"/>
        <v>1.6152289931816739E-2</v>
      </c>
      <c r="O253" s="120">
        <f t="shared" si="46"/>
        <v>1.7591210385706575E-3</v>
      </c>
      <c r="P253" s="120">
        <f t="shared" si="46"/>
        <v>5.1993053510524618E-3</v>
      </c>
      <c r="Q253" s="120">
        <f t="shared" si="46"/>
        <v>5.5012468225351052E-2</v>
      </c>
      <c r="R253" s="120">
        <f t="shared" si="46"/>
        <v>9.6457547813786751E-2</v>
      </c>
      <c r="S253" s="120">
        <f t="shared" si="46"/>
        <v>0.20255049453680113</v>
      </c>
      <c r="T253" s="120">
        <f t="shared" si="46"/>
        <v>0.29091450712525085</v>
      </c>
      <c r="U253" s="120">
        <f t="shared" si="46"/>
        <v>7.6919248049579975E-2</v>
      </c>
      <c r="V253" s="120">
        <f t="shared" si="46"/>
        <v>6.3508821128919105E-2</v>
      </c>
      <c r="W253" s="120">
        <f t="shared" si="46"/>
        <v>0.12454614085375462</v>
      </c>
      <c r="X253" s="120">
        <f t="shared" si="46"/>
        <v>3.193884701641117E-2</v>
      </c>
      <c r="Y253" s="61"/>
    </row>
    <row r="254" spans="2:25" ht="17">
      <c r="B254" s="78">
        <v>17</v>
      </c>
      <c r="C254" s="63" t="str">
        <f>C101</f>
        <v>PT ETERINDO WAHANATAMA</v>
      </c>
      <c r="D254" s="68" t="s">
        <v>142</v>
      </c>
      <c r="E254" s="120">
        <f>E104/E105</f>
        <v>6.7211879578758576E-3</v>
      </c>
      <c r="F254" s="120">
        <f t="shared" ref="F254:X254" si="47">F104/F105</f>
        <v>2.1449375955521453E-3</v>
      </c>
      <c r="G254" s="120">
        <f t="shared" si="47"/>
        <v>2.7225760849401977E-2</v>
      </c>
      <c r="H254" s="120">
        <f t="shared" si="47"/>
        <v>3.8841488355429575E-2</v>
      </c>
      <c r="I254" s="120">
        <f t="shared" si="47"/>
        <v>0.10109093624727172</v>
      </c>
      <c r="J254" s="120">
        <f t="shared" si="47"/>
        <v>3.3606300681267832E-2</v>
      </c>
      <c r="K254" s="120">
        <f t="shared" si="47"/>
        <v>3.7589174241548352E-4</v>
      </c>
      <c r="L254" s="120">
        <f t="shared" si="47"/>
        <v>3.1642750396429557E-5</v>
      </c>
      <c r="M254" s="120">
        <f t="shared" si="47"/>
        <v>2.7346415697888037E-4</v>
      </c>
      <c r="N254" s="120">
        <f t="shared" si="47"/>
        <v>-2.63242376778505E-4</v>
      </c>
      <c r="O254" s="120">
        <f t="shared" si="47"/>
        <v>3.1222053293174094E-4</v>
      </c>
      <c r="P254" s="120">
        <f t="shared" si="47"/>
        <v>1.1585507238151491E-5</v>
      </c>
      <c r="Q254" s="120">
        <f t="shared" si="47"/>
        <v>1.7656054040641385E-4</v>
      </c>
      <c r="R254" s="120">
        <f t="shared" si="47"/>
        <v>3.0314505198735385E-3</v>
      </c>
      <c r="S254" s="120">
        <f t="shared" si="47"/>
        <v>1.953507102969539E-2</v>
      </c>
      <c r="T254" s="120">
        <f t="shared" si="47"/>
        <v>1.1149684958521217E-2</v>
      </c>
      <c r="U254" s="120">
        <f t="shared" si="47"/>
        <v>1.7947569708691331E-2</v>
      </c>
      <c r="V254" s="120">
        <f t="shared" si="47"/>
        <v>3.2446126585506123E-5</v>
      </c>
      <c r="W254" s="120">
        <f t="shared" si="47"/>
        <v>0</v>
      </c>
      <c r="X254" s="120">
        <f t="shared" si="47"/>
        <v>0</v>
      </c>
      <c r="Y254" s="61"/>
    </row>
    <row r="255" spans="2:25" ht="17">
      <c r="B255" s="78">
        <v>18</v>
      </c>
      <c r="C255" s="63" t="str">
        <f>C107</f>
        <v>PT Cowel Development Tbk</v>
      </c>
      <c r="D255" s="68" t="s">
        <v>222</v>
      </c>
      <c r="E255" s="120">
        <f>E110/E111</f>
        <v>4.8902281210819021E-2</v>
      </c>
      <c r="F255" s="120">
        <f t="shared" ref="F255:X255" si="48">F110/F111</f>
        <v>3.1508423805700063E-2</v>
      </c>
      <c r="G255" s="120">
        <f t="shared" si="48"/>
        <v>3.0200759266951097E-2</v>
      </c>
      <c r="H255" s="120">
        <f t="shared" si="48"/>
        <v>5.0470654334108002E-2</v>
      </c>
      <c r="I255" s="120">
        <f t="shared" si="48"/>
        <v>3.8698969453586786E-2</v>
      </c>
      <c r="J255" s="120">
        <f t="shared" si="48"/>
        <v>3.7153032755494558E-2</v>
      </c>
      <c r="K255" s="120">
        <f t="shared" si="48"/>
        <v>2.7529976864899292E-2</v>
      </c>
      <c r="L255" s="120">
        <f t="shared" si="48"/>
        <v>5.7097242364772878E-2</v>
      </c>
      <c r="M255" s="120">
        <f t="shared" si="48"/>
        <v>3.672743200071249E-2</v>
      </c>
      <c r="N255" s="120">
        <f t="shared" si="48"/>
        <v>4.2137412424623912E-2</v>
      </c>
      <c r="O255" s="120">
        <f t="shared" si="48"/>
        <v>3.6562350099215379E-2</v>
      </c>
      <c r="P255" s="120">
        <f t="shared" si="48"/>
        <v>2.1357081318866194E-2</v>
      </c>
      <c r="Q255" s="120">
        <f t="shared" si="48"/>
        <v>3.5887368988423402E-2</v>
      </c>
      <c r="R255" s="120">
        <f t="shared" si="48"/>
        <v>4.0610259710197147E-2</v>
      </c>
      <c r="S255" s="120">
        <f t="shared" si="48"/>
        <v>2.0733380396597008E-2</v>
      </c>
      <c r="T255" s="120">
        <f t="shared" si="48"/>
        <v>2.0474574961617035E-2</v>
      </c>
      <c r="U255" s="120">
        <f t="shared" si="48"/>
        <v>2.3678765796165516E-2</v>
      </c>
      <c r="V255" s="120">
        <f t="shared" si="48"/>
        <v>1.9934824342321252E-2</v>
      </c>
      <c r="W255" s="120">
        <f t="shared" si="48"/>
        <v>2.0704192657099101E-2</v>
      </c>
      <c r="X255" s="120">
        <f t="shared" si="48"/>
        <v>8.7882808620861882E-2</v>
      </c>
      <c r="Y255" s="61"/>
    </row>
    <row r="256" spans="2:25" ht="17">
      <c r="B256" s="78">
        <v>19</v>
      </c>
      <c r="C256" s="63" t="str">
        <f>C191</f>
        <v>Ebit</v>
      </c>
      <c r="D256" s="68" t="s">
        <v>223</v>
      </c>
      <c r="E256" s="120">
        <f>E194/E195</f>
        <v>8.4625378736854787E-2</v>
      </c>
      <c r="F256" s="120">
        <f t="shared" ref="F256:X256" si="49">F194/F195</f>
        <v>9.0401469457150954E-2</v>
      </c>
      <c r="G256" s="120">
        <f t="shared" si="49"/>
        <v>8.8921253150225296E-2</v>
      </c>
      <c r="H256" s="120">
        <f t="shared" si="49"/>
        <v>9.1714584894530063E-2</v>
      </c>
      <c r="I256" s="120">
        <f t="shared" si="49"/>
        <v>9.1845473068617553E-2</v>
      </c>
      <c r="J256" s="120">
        <f t="shared" si="49"/>
        <v>9.1696650062183679E-2</v>
      </c>
      <c r="K256" s="120">
        <f t="shared" si="49"/>
        <v>7.3425964527142909E-2</v>
      </c>
      <c r="L256" s="120">
        <f t="shared" si="49"/>
        <v>9.9516300667505081E-2</v>
      </c>
      <c r="M256" s="120">
        <f t="shared" si="49"/>
        <v>0.14148840687631262</v>
      </c>
      <c r="N256" s="120">
        <f t="shared" si="49"/>
        <v>0.18518556352843005</v>
      </c>
      <c r="O256" s="120">
        <f t="shared" si="49"/>
        <v>0.15930550812818842</v>
      </c>
      <c r="P256" s="120">
        <f t="shared" si="49"/>
        <v>0.12371405416845181</v>
      </c>
      <c r="Q256" s="120">
        <f t="shared" si="49"/>
        <v>0.16960252318609451</v>
      </c>
      <c r="R256" s="120">
        <f t="shared" si="49"/>
        <v>0.18349327796648632</v>
      </c>
      <c r="S256" s="120">
        <f t="shared" si="49"/>
        <v>7.4266984782648038E-2</v>
      </c>
      <c r="T256" s="120">
        <f t="shared" si="49"/>
        <v>0.17137184388991439</v>
      </c>
      <c r="U256" s="120">
        <f t="shared" si="49"/>
        <v>0.25434212109485516</v>
      </c>
      <c r="V256" s="120">
        <f t="shared" si="49"/>
        <v>0.15747851188738607</v>
      </c>
      <c r="W256" s="120">
        <f t="shared" si="49"/>
        <v>7.6877237898147887E-3</v>
      </c>
      <c r="X256" s="120">
        <f t="shared" si="49"/>
        <v>7.6330785516689911E-2</v>
      </c>
      <c r="Y256" s="61"/>
    </row>
    <row r="257" spans="2:25" ht="17">
      <c r="B257" s="78">
        <v>20</v>
      </c>
      <c r="C257" s="65" t="str">
        <f>C119</f>
        <v>PT Grand Kartech Tbk</v>
      </c>
      <c r="D257" s="68" t="s">
        <v>148</v>
      </c>
      <c r="E257" s="119">
        <f>E122/E123</f>
        <v>0.21179317631987124</v>
      </c>
      <c r="F257" s="119">
        <f t="shared" ref="F257:X257" si="50">F122/F123</f>
        <v>0.1286811224043225</v>
      </c>
      <c r="G257" s="119">
        <f t="shared" si="50"/>
        <v>0.13387540729411765</v>
      </c>
      <c r="H257" s="119">
        <f t="shared" si="50"/>
        <v>0.100529301699975</v>
      </c>
      <c r="I257" s="119">
        <f t="shared" si="50"/>
        <v>0.18732369885618458</v>
      </c>
      <c r="J257" s="119">
        <f t="shared" si="50"/>
        <v>0.12318016874624559</v>
      </c>
      <c r="K257" s="119">
        <f t="shared" si="50"/>
        <v>0.16562678258733041</v>
      </c>
      <c r="L257" s="119">
        <f t="shared" si="50"/>
        <v>0.15943325988844365</v>
      </c>
      <c r="M257" s="119">
        <f t="shared" si="50"/>
        <v>0.1162321987915565</v>
      </c>
      <c r="N257" s="119">
        <f t="shared" si="50"/>
        <v>0.12583574602805508</v>
      </c>
      <c r="O257" s="119">
        <f t="shared" si="50"/>
        <v>0.12837061790032808</v>
      </c>
      <c r="P257" s="119">
        <f t="shared" si="50"/>
        <v>0.13843942768232043</v>
      </c>
      <c r="Q257" s="119">
        <f t="shared" si="50"/>
        <v>4.9553029200073748E-2</v>
      </c>
      <c r="R257" s="119">
        <f t="shared" si="50"/>
        <v>7.9206603570814868E-2</v>
      </c>
      <c r="S257" s="119">
        <f t="shared" si="50"/>
        <v>0.1034858361614072</v>
      </c>
      <c r="T257" s="119">
        <f t="shared" si="50"/>
        <v>0.11763809150986265</v>
      </c>
      <c r="U257" s="119">
        <f t="shared" si="50"/>
        <v>0.11660365709811493</v>
      </c>
      <c r="V257" s="119">
        <f t="shared" si="50"/>
        <v>8.4531853594796813E-2</v>
      </c>
      <c r="W257" s="119">
        <f t="shared" si="50"/>
        <v>0.12394723520830415</v>
      </c>
      <c r="X257" s="119">
        <f t="shared" si="50"/>
        <v>8.968346036208083E-2</v>
      </c>
      <c r="Y257" s="80"/>
    </row>
    <row r="258" spans="2:25" ht="17">
      <c r="B258" s="78">
        <v>21</v>
      </c>
      <c r="C258" s="65" t="str">
        <f>C125</f>
        <v>Prima Alloy Steel Universal</v>
      </c>
      <c r="D258" s="68" t="s">
        <v>151</v>
      </c>
      <c r="E258" s="119">
        <f>E128/E129</f>
        <v>7.4904413123611888E-2</v>
      </c>
      <c r="F258" s="119">
        <f t="shared" ref="F258:X258" si="51">F128/F129</f>
        <v>7.4048566240235356E-2</v>
      </c>
      <c r="G258" s="119">
        <f t="shared" si="51"/>
        <v>6.6366459097962516E-2</v>
      </c>
      <c r="H258" s="119">
        <f t="shared" si="51"/>
        <v>3.8973646544784198E-2</v>
      </c>
      <c r="I258" s="119">
        <f t="shared" si="51"/>
        <v>2.4300088239366201E-2</v>
      </c>
      <c r="J258" s="119">
        <f t="shared" si="51"/>
        <v>4.2195199429449902E-2</v>
      </c>
      <c r="K258" s="119">
        <f t="shared" si="51"/>
        <v>2.1093093407279665E-2</v>
      </c>
      <c r="L258" s="119">
        <f t="shared" si="51"/>
        <v>5.9152400862478041E-2</v>
      </c>
      <c r="M258" s="119">
        <f t="shared" si="51"/>
        <v>5.5830101430450023E-2</v>
      </c>
      <c r="N258" s="119">
        <f t="shared" si="51"/>
        <v>3.3253361381072918E-2</v>
      </c>
      <c r="O258" s="119">
        <f t="shared" si="51"/>
        <v>5.9165994456870014E-2</v>
      </c>
      <c r="P258" s="119">
        <f t="shared" si="51"/>
        <v>3.7668126105556733E-2</v>
      </c>
      <c r="Q258" s="119">
        <f t="shared" si="51"/>
        <v>2.6418246498787306E-2</v>
      </c>
      <c r="R258" s="119">
        <f t="shared" si="51"/>
        <v>2.1777590800974446E-2</v>
      </c>
      <c r="S258" s="119">
        <f t="shared" si="51"/>
        <v>1.5930595971466229E-2</v>
      </c>
      <c r="T258" s="119">
        <f t="shared" si="51"/>
        <v>8.722979465611392E-3</v>
      </c>
      <c r="U258" s="119">
        <f t="shared" si="51"/>
        <v>1.1485525609032592E-2</v>
      </c>
      <c r="V258" s="119">
        <f t="shared" si="51"/>
        <v>1.3110856642657456E-2</v>
      </c>
      <c r="W258" s="119">
        <f t="shared" si="51"/>
        <v>4.1221001007582855E-3</v>
      </c>
      <c r="X258" s="119">
        <f t="shared" si="51"/>
        <v>5.9836111391554613E-3</v>
      </c>
      <c r="Y258" s="80"/>
    </row>
    <row r="259" spans="2:25" ht="17">
      <c r="B259" s="78">
        <v>22</v>
      </c>
      <c r="C259" s="65" t="str">
        <f>C185</f>
        <v>EXPRESS, INC.</v>
      </c>
      <c r="D259" s="68" t="s">
        <v>224</v>
      </c>
      <c r="E259" s="119">
        <f>E188/E189</f>
        <v>0.57832724568780269</v>
      </c>
      <c r="F259" s="119">
        <f t="shared" ref="F259:X259" si="52">F188/F189</f>
        <v>0.21219436616671847</v>
      </c>
      <c r="G259" s="119">
        <f t="shared" si="52"/>
        <v>0.23029980897463567</v>
      </c>
      <c r="H259" s="119">
        <f t="shared" si="52"/>
        <v>0.2350833576365528</v>
      </c>
      <c r="I259" s="119">
        <f t="shared" si="52"/>
        <v>0.33881263545385454</v>
      </c>
      <c r="J259" s="119">
        <f t="shared" si="52"/>
        <v>0.11687242661117485</v>
      </c>
      <c r="K259" s="119">
        <f t="shared" si="52"/>
        <v>0.14560660976008685</v>
      </c>
      <c r="L259" s="119">
        <f t="shared" si="52"/>
        <v>0.19261203621138098</v>
      </c>
      <c r="M259" s="119">
        <f t="shared" si="52"/>
        <v>0.2950618358991729</v>
      </c>
      <c r="N259" s="119">
        <f t="shared" si="52"/>
        <v>0.24578759812587836</v>
      </c>
      <c r="O259" s="119">
        <f t="shared" si="52"/>
        <v>0.36599033893696314</v>
      </c>
      <c r="P259" s="119">
        <f t="shared" si="52"/>
        <v>0.35644665772493295</v>
      </c>
      <c r="Q259" s="119">
        <f t="shared" si="52"/>
        <v>0.47237056692820856</v>
      </c>
      <c r="R259" s="119">
        <f t="shared" si="52"/>
        <v>0.36631794335047424</v>
      </c>
      <c r="S259" s="119">
        <f t="shared" si="52"/>
        <v>0.39977385195471882</v>
      </c>
      <c r="T259" s="119">
        <f t="shared" si="52"/>
        <v>0.35557355580107963</v>
      </c>
      <c r="U259" s="119">
        <f t="shared" si="52"/>
        <v>0.36782078558275078</v>
      </c>
      <c r="V259" s="119">
        <f t="shared" si="52"/>
        <v>0.28311791156244992</v>
      </c>
      <c r="W259" s="119">
        <f t="shared" si="52"/>
        <v>0.29981687744011326</v>
      </c>
      <c r="X259" s="119">
        <f t="shared" si="52"/>
        <v>0.30935821845290573</v>
      </c>
      <c r="Y259" s="80"/>
    </row>
    <row r="260" spans="2:25" ht="17">
      <c r="B260" s="78">
        <v>23</v>
      </c>
      <c r="C260" s="65" t="str">
        <f>C137</f>
        <v>Bumi Resources Tbk</v>
      </c>
      <c r="D260" s="68" t="s">
        <v>154</v>
      </c>
      <c r="E260" s="119">
        <f>E140/E141</f>
        <v>6.0122643204531041E-2</v>
      </c>
      <c r="F260" s="119">
        <f t="shared" ref="F260:X260" si="53">F140/F141</f>
        <v>6.7611643724605833E-2</v>
      </c>
      <c r="G260" s="119">
        <f t="shared" si="53"/>
        <v>7.2593358387851373E-2</v>
      </c>
      <c r="H260" s="119">
        <f t="shared" si="53"/>
        <v>9.7416581270118138E-2</v>
      </c>
      <c r="I260" s="119">
        <f t="shared" si="53"/>
        <v>7.1116322402503263E-2</v>
      </c>
      <c r="J260" s="119">
        <f t="shared" si="53"/>
        <v>5.1140969571140643E-2</v>
      </c>
      <c r="K260" s="119">
        <f t="shared" si="53"/>
        <v>4.322875395991424E-2</v>
      </c>
      <c r="L260" s="119">
        <f t="shared" si="53"/>
        <v>5.9077525631656691E-2</v>
      </c>
      <c r="M260" s="119">
        <f t="shared" si="53"/>
        <v>5.6073877334377555E-2</v>
      </c>
      <c r="N260" s="119">
        <f t="shared" si="53"/>
        <v>6.5442861033590372E-2</v>
      </c>
      <c r="O260" s="119">
        <f t="shared" si="53"/>
        <v>6.5984163602825052E-2</v>
      </c>
      <c r="P260" s="119">
        <f t="shared" si="53"/>
        <v>8.0977352039882058E-2</v>
      </c>
      <c r="Q260" s="119">
        <f t="shared" si="53"/>
        <v>8.3914413014274838E-2</v>
      </c>
      <c r="R260" s="119">
        <f t="shared" si="53"/>
        <v>0.13872463379802835</v>
      </c>
      <c r="S260" s="119">
        <f t="shared" si="53"/>
        <v>9.3766582324616599E-2</v>
      </c>
      <c r="T260" s="119">
        <f t="shared" si="53"/>
        <v>9.6985114663361016E-2</v>
      </c>
      <c r="U260" s="119">
        <f t="shared" si="53"/>
        <v>0.10585892935923093</v>
      </c>
      <c r="V260" s="119">
        <f t="shared" si="53"/>
        <v>9.8822189406507097E-2</v>
      </c>
      <c r="W260" s="119">
        <f t="shared" si="53"/>
        <v>6.8860177678263579E-2</v>
      </c>
      <c r="X260" s="119">
        <f t="shared" si="53"/>
        <v>0.12021433514638553</v>
      </c>
      <c r="Y260" s="80"/>
    </row>
    <row r="261" spans="2:25" ht="17">
      <c r="B261" s="78">
        <v>24</v>
      </c>
      <c r="C261" s="65" t="str">
        <f>C143</f>
        <v>Modernland Realty Ltd Tbk</v>
      </c>
      <c r="D261" s="68" t="s">
        <v>157</v>
      </c>
      <c r="E261" s="119">
        <f>E146/E147</f>
        <v>5.9540031263184662E-2</v>
      </c>
      <c r="F261" s="119">
        <f t="shared" ref="F261:X261" si="54">F146/F147</f>
        <v>1.8023552513907897E-2</v>
      </c>
      <c r="G261" s="119">
        <f t="shared" si="54"/>
        <v>2.1972628608247821E-2</v>
      </c>
      <c r="H261" s="119">
        <f t="shared" si="54"/>
        <v>9.597020058578333E-2</v>
      </c>
      <c r="I261" s="119">
        <f t="shared" si="54"/>
        <v>6.5778033024784903E-3</v>
      </c>
      <c r="J261" s="119">
        <f t="shared" si="54"/>
        <v>1.0585467203631098E-2</v>
      </c>
      <c r="K261" s="119">
        <f t="shared" si="54"/>
        <v>1.2069754387289383E-2</v>
      </c>
      <c r="L261" s="119">
        <f t="shared" si="54"/>
        <v>1.7499994501799263E-2</v>
      </c>
      <c r="M261" s="119">
        <f t="shared" si="54"/>
        <v>1.3217508054564944E-2</v>
      </c>
      <c r="N261" s="119">
        <f t="shared" si="54"/>
        <v>1.1463789555033847E-2</v>
      </c>
      <c r="O261" s="119">
        <f t="shared" si="54"/>
        <v>1.4075779024571288E-2</v>
      </c>
      <c r="P261" s="119">
        <f t="shared" si="54"/>
        <v>9.8383621374408106E-2</v>
      </c>
      <c r="Q261" s="119">
        <f t="shared" si="54"/>
        <v>2.7002239378538132E-2</v>
      </c>
      <c r="R261" s="119">
        <f t="shared" si="54"/>
        <v>5.5709359622923499E-3</v>
      </c>
      <c r="S261" s="119">
        <f t="shared" si="54"/>
        <v>1.0796551199851134E-2</v>
      </c>
      <c r="T261" s="119">
        <f t="shared" si="54"/>
        <v>3.5799775922160638E-2</v>
      </c>
      <c r="U261" s="119">
        <f t="shared" si="54"/>
        <v>1.5276453062484397E-2</v>
      </c>
      <c r="V261" s="119">
        <f t="shared" si="54"/>
        <v>8.2761407546124727E-3</v>
      </c>
      <c r="W261" s="119">
        <f t="shared" si="54"/>
        <v>3.4081663877536493E-2</v>
      </c>
      <c r="X261" s="119">
        <f t="shared" si="54"/>
        <v>2.6995854496923648E-2</v>
      </c>
      <c r="Y261" s="80"/>
    </row>
    <row r="262" spans="2:25" ht="17">
      <c r="B262" s="78">
        <v>25</v>
      </c>
      <c r="C262" s="65" t="str">
        <f>C149</f>
        <v>FKS Food Sejahtera Tbk PT</v>
      </c>
      <c r="D262" s="68" t="s">
        <v>159</v>
      </c>
      <c r="E262" s="119">
        <f>E152/E153</f>
        <v>0.16887449073749919</v>
      </c>
      <c r="F262" s="119">
        <f t="shared" ref="F262:X262" si="55">F152/F153</f>
        <v>0.16887449073749919</v>
      </c>
      <c r="G262" s="119">
        <f t="shared" si="55"/>
        <v>0.26217479448744796</v>
      </c>
      <c r="H262" s="119">
        <f t="shared" si="55"/>
        <v>0.22948143518929717</v>
      </c>
      <c r="I262" s="119">
        <f t="shared" si="55"/>
        <v>0.16033244230766566</v>
      </c>
      <c r="J262" s="119">
        <f t="shared" si="55"/>
        <v>0.12196284503135317</v>
      </c>
      <c r="K262" s="119">
        <f t="shared" si="55"/>
        <v>0.16673259475042923</v>
      </c>
      <c r="L262" s="119">
        <f t="shared" si="55"/>
        <v>0.16519889816694233</v>
      </c>
      <c r="M262" s="119">
        <f t="shared" si="55"/>
        <v>0.17857627727651809</v>
      </c>
      <c r="N262" s="119">
        <f t="shared" si="55"/>
        <v>0.17424928988622715</v>
      </c>
      <c r="O262" s="119">
        <f t="shared" si="55"/>
        <v>0.20778380160989432</v>
      </c>
      <c r="P262" s="119">
        <f t="shared" si="55"/>
        <v>0.24251518760423563</v>
      </c>
      <c r="Q262" s="119">
        <f t="shared" si="55"/>
        <v>0.24999596250756681</v>
      </c>
      <c r="R262" s="119">
        <f t="shared" si="55"/>
        <v>0.22976886154010143</v>
      </c>
      <c r="S262" s="119">
        <f t="shared" si="55"/>
        <v>0.24959560195283395</v>
      </c>
      <c r="T262" s="119">
        <f t="shared" si="55"/>
        <v>0.29464998494264516</v>
      </c>
      <c r="U262" s="119">
        <f t="shared" si="55"/>
        <v>0.25523624618633073</v>
      </c>
      <c r="V262" s="119">
        <f t="shared" si="55"/>
        <v>0.21336833767063609</v>
      </c>
      <c r="W262" s="119">
        <f t="shared" si="55"/>
        <v>0.27621147387420319</v>
      </c>
      <c r="X262" s="119">
        <f t="shared" si="55"/>
        <v>0.21189467698448219</v>
      </c>
      <c r="Y262" s="80"/>
    </row>
    <row r="263" spans="2:25" ht="17">
      <c r="B263" s="78">
        <v>26</v>
      </c>
      <c r="C263" s="65" t="str">
        <f>C155</f>
        <v>Indosat Tbk</v>
      </c>
      <c r="D263" s="68" t="s">
        <v>161</v>
      </c>
      <c r="E263" s="119">
        <f>E158/E159</f>
        <v>0.10868558915455817</v>
      </c>
      <c r="F263" s="119">
        <f t="shared" ref="F263:X263" si="56">F158/F159</f>
        <v>0.11179878511807231</v>
      </c>
      <c r="G263" s="119">
        <f t="shared" si="56"/>
        <v>0.11240766621793907</v>
      </c>
      <c r="H263" s="119">
        <f t="shared" si="56"/>
        <v>0.11565268336172449</v>
      </c>
      <c r="I263" s="119">
        <f t="shared" si="56"/>
        <v>0.1071491383736476</v>
      </c>
      <c r="J263" s="119">
        <f t="shared" si="56"/>
        <v>0.11343624024273292</v>
      </c>
      <c r="K263" s="119">
        <f t="shared" si="56"/>
        <v>0.11545839763719469</v>
      </c>
      <c r="L263" s="119">
        <f t="shared" si="56"/>
        <v>0.11681717409428734</v>
      </c>
      <c r="M263" s="119">
        <f t="shared" si="56"/>
        <v>0.1167934267132458</v>
      </c>
      <c r="N263" s="119">
        <f t="shared" si="56"/>
        <v>0.10851986450174522</v>
      </c>
      <c r="O263" s="119">
        <f t="shared" si="56"/>
        <v>0.1155630123269145</v>
      </c>
      <c r="P263" s="119">
        <f t="shared" si="56"/>
        <v>0.13144466687996753</v>
      </c>
      <c r="Q263" s="119">
        <f t="shared" si="56"/>
        <v>0.10771616256569612</v>
      </c>
      <c r="R263" s="119">
        <f t="shared" si="56"/>
        <v>0.11159314839724659</v>
      </c>
      <c r="S263" s="119">
        <f t="shared" si="56"/>
        <v>0.1165924025999821</v>
      </c>
      <c r="T263" s="119">
        <f t="shared" si="56"/>
        <v>0.1075292396850442</v>
      </c>
      <c r="U263" s="119">
        <f t="shared" si="56"/>
        <v>0.10390061443690705</v>
      </c>
      <c r="V263" s="119">
        <f t="shared" si="56"/>
        <v>0.11583480448813167</v>
      </c>
      <c r="W263" s="119">
        <f t="shared" si="56"/>
        <v>0.1139666524284562</v>
      </c>
      <c r="X263" s="119">
        <f t="shared" si="56"/>
        <v>0.11999751678508325</v>
      </c>
      <c r="Y263" s="80"/>
    </row>
    <row r="264" spans="2:25" ht="17">
      <c r="B264" s="78">
        <v>27</v>
      </c>
      <c r="C264" s="65" t="str">
        <f>C161</f>
        <v>Krakatau Steel Persero Tbk</v>
      </c>
      <c r="D264" s="68" t="s">
        <v>163</v>
      </c>
      <c r="E264" s="119">
        <f>E164/E165</f>
        <v>0.10781868628612401</v>
      </c>
      <c r="F264" s="119">
        <f t="shared" ref="F264:X264" si="57">F164/F165</f>
        <v>0.10066659042266407</v>
      </c>
      <c r="G264" s="119">
        <f t="shared" si="57"/>
        <v>6.6279403834712189E-2</v>
      </c>
      <c r="H264" s="119">
        <f t="shared" si="57"/>
        <v>8.167983231368213E-2</v>
      </c>
      <c r="I264" s="119">
        <f t="shared" si="57"/>
        <v>0.11179128876999979</v>
      </c>
      <c r="J264" s="119">
        <f t="shared" si="57"/>
        <v>0.1062219010562182</v>
      </c>
      <c r="K264" s="119">
        <f t="shared" si="57"/>
        <v>7.2691211636514166E-2</v>
      </c>
      <c r="L264" s="119">
        <f t="shared" si="57"/>
        <v>0.11985260051348233</v>
      </c>
      <c r="M264" s="119">
        <f t="shared" si="57"/>
        <v>0.11899669252848753</v>
      </c>
      <c r="N264" s="119">
        <f t="shared" si="57"/>
        <v>0.14014933447257527</v>
      </c>
      <c r="O264" s="119">
        <f t="shared" si="57"/>
        <v>0.1590390650651827</v>
      </c>
      <c r="P264" s="119">
        <f t="shared" si="57"/>
        <v>0.148240390428861</v>
      </c>
      <c r="Q264" s="119">
        <f t="shared" si="57"/>
        <v>0.14466928268351603</v>
      </c>
      <c r="R264" s="119">
        <f t="shared" si="57"/>
        <v>0.1726529863745353</v>
      </c>
      <c r="S264" s="119">
        <f t="shared" si="57"/>
        <v>0.17016934087557864</v>
      </c>
      <c r="T264" s="119">
        <f t="shared" si="57"/>
        <v>0.13531964110585212</v>
      </c>
      <c r="U264" s="119">
        <f t="shared" si="57"/>
        <v>0.12502648276612255</v>
      </c>
      <c r="V264" s="119">
        <f t="shared" si="57"/>
        <v>0.21915562599894969</v>
      </c>
      <c r="W264" s="119">
        <f t="shared" si="57"/>
        <v>9.7557981112600653E-2</v>
      </c>
      <c r="X264" s="119">
        <f t="shared" si="57"/>
        <v>9.5379669835656822E-2</v>
      </c>
      <c r="Y264" s="80"/>
    </row>
    <row r="265" spans="2:25" ht="17">
      <c r="B265" s="78">
        <v>28</v>
      </c>
      <c r="C265" s="65" t="str">
        <f>C167</f>
        <v>Bakrie Sumatera Plantations</v>
      </c>
      <c r="D265" s="68" t="s">
        <v>165</v>
      </c>
      <c r="E265" s="119">
        <f>E170/E171</f>
        <v>3.5939961500855946E-2</v>
      </c>
      <c r="F265" s="119">
        <f t="shared" ref="F265:X265" si="58">F170/F171</f>
        <v>3.3186230788947356E-2</v>
      </c>
      <c r="G265" s="119">
        <f t="shared" si="58"/>
        <v>3.8054463239442934E-2</v>
      </c>
      <c r="H265" s="119">
        <f t="shared" si="58"/>
        <v>6.7012886640280517E-2</v>
      </c>
      <c r="I265" s="119">
        <f t="shared" si="58"/>
        <v>6.2224594582611405E-2</v>
      </c>
      <c r="J265" s="119">
        <f t="shared" si="58"/>
        <v>7.0404757961119183E-2</v>
      </c>
      <c r="K265" s="119">
        <f t="shared" si="58"/>
        <v>6.9480515398607876E-2</v>
      </c>
      <c r="L265" s="119">
        <f t="shared" si="58"/>
        <v>0.10199839231054542</v>
      </c>
      <c r="M265" s="119">
        <f t="shared" si="58"/>
        <v>0.10134527489006466</v>
      </c>
      <c r="N265" s="119">
        <f t="shared" si="58"/>
        <v>0.12442615705031941</v>
      </c>
      <c r="O265" s="119">
        <f t="shared" si="58"/>
        <v>0.13788751555706855</v>
      </c>
      <c r="P265" s="119">
        <f t="shared" si="58"/>
        <v>0.13228124817989609</v>
      </c>
      <c r="Q265" s="119">
        <f t="shared" si="58"/>
        <v>0.14446007255242152</v>
      </c>
      <c r="R265" s="119">
        <f t="shared" si="58"/>
        <v>4.8404390079216063E-2</v>
      </c>
      <c r="S265" s="119">
        <f t="shared" si="58"/>
        <v>0.13343747406251943</v>
      </c>
      <c r="T265" s="119">
        <f t="shared" si="58"/>
        <v>0.44637955801177981</v>
      </c>
      <c r="U265" s="119">
        <f t="shared" si="58"/>
        <v>0.14381824869362836</v>
      </c>
      <c r="V265" s="119">
        <f t="shared" si="58"/>
        <v>0.12697236903539488</v>
      </c>
      <c r="W265" s="119">
        <f t="shared" si="58"/>
        <v>0.13094467832009715</v>
      </c>
      <c r="X265" s="119">
        <f t="shared" si="58"/>
        <v>0.11867097248189309</v>
      </c>
      <c r="Y265" s="80"/>
    </row>
    <row r="266" spans="2:25" ht="17">
      <c r="B266" s="78">
        <v>29</v>
      </c>
      <c r="C266" s="65" t="str">
        <f>C173</f>
        <v>Multipolar Tbk</v>
      </c>
      <c r="D266" s="68" t="s">
        <v>167</v>
      </c>
      <c r="E266" s="119">
        <f>E176/E177</f>
        <v>0.15629399556536147</v>
      </c>
      <c r="F266" s="119">
        <f t="shared" ref="F266:X266" si="59">F176/F177</f>
        <v>0.21460188193032434</v>
      </c>
      <c r="G266" s="119">
        <f t="shared" si="59"/>
        <v>0.18108214575628834</v>
      </c>
      <c r="H266" s="119">
        <f t="shared" si="59"/>
        <v>0.20883817004586203</v>
      </c>
      <c r="I266" s="119">
        <f t="shared" si="59"/>
        <v>0.1529231985744223</v>
      </c>
      <c r="J266" s="119">
        <f t="shared" si="59"/>
        <v>0.15185446043074871</v>
      </c>
      <c r="K266" s="119">
        <f t="shared" si="59"/>
        <v>0.13844155446787393</v>
      </c>
      <c r="L266" s="119">
        <f t="shared" si="59"/>
        <v>0.1720964882556924</v>
      </c>
      <c r="M266" s="119">
        <f t="shared" si="59"/>
        <v>0.1472586512914468</v>
      </c>
      <c r="N266" s="119">
        <f t="shared" si="59"/>
        <v>0.1810588903289134</v>
      </c>
      <c r="O266" s="119">
        <f t="shared" si="59"/>
        <v>0.14580131611235048</v>
      </c>
      <c r="P266" s="119">
        <f t="shared" si="59"/>
        <v>0.19570979791793</v>
      </c>
      <c r="Q266" s="119">
        <f t="shared" si="59"/>
        <v>0.17839015794403421</v>
      </c>
      <c r="R266" s="119">
        <f t="shared" si="59"/>
        <v>0.21293127730532826</v>
      </c>
      <c r="S266" s="119">
        <f t="shared" si="59"/>
        <v>0.19850528848316254</v>
      </c>
      <c r="T266" s="119">
        <f t="shared" si="59"/>
        <v>0.20759417001506042</v>
      </c>
      <c r="U266" s="119">
        <f t="shared" si="59"/>
        <v>0.18410295054663178</v>
      </c>
      <c r="V266" s="119">
        <f t="shared" si="59"/>
        <v>0.22662959137694857</v>
      </c>
      <c r="W266" s="119">
        <f t="shared" si="59"/>
        <v>0.20311715205238737</v>
      </c>
      <c r="X266" s="119">
        <f t="shared" si="59"/>
        <v>0.21111270444977726</v>
      </c>
      <c r="Y266" s="80"/>
    </row>
    <row r="267" spans="2:25" ht="17">
      <c r="B267" s="78">
        <v>30</v>
      </c>
      <c r="C267" s="65" t="str">
        <f>C179</f>
        <v>Visi Media Asia Tbk</v>
      </c>
      <c r="D267" s="68" t="s">
        <v>169</v>
      </c>
      <c r="E267" s="119">
        <f>E182/E183</f>
        <v>5.5098128833802364E-2</v>
      </c>
      <c r="F267" s="119">
        <f t="shared" ref="F267:X267" si="60">F182/F183</f>
        <v>6.2521596893013967E-2</v>
      </c>
      <c r="G267" s="119">
        <f t="shared" si="60"/>
        <v>7.0513456078758516E-2</v>
      </c>
      <c r="H267" s="119">
        <f t="shared" si="60"/>
        <v>6.3495980268232041E-2</v>
      </c>
      <c r="I267" s="119">
        <f t="shared" si="60"/>
        <v>5.3573422113993935E-2</v>
      </c>
      <c r="J267" s="119">
        <f t="shared" si="60"/>
        <v>5.3989846309850757E-2</v>
      </c>
      <c r="K267" s="119">
        <f t="shared" si="60"/>
        <v>4.9855200614206438E-2</v>
      </c>
      <c r="L267" s="119">
        <f t="shared" si="60"/>
        <v>4.9003271302380413E-2</v>
      </c>
      <c r="M267" s="119">
        <f t="shared" si="60"/>
        <v>6.2943136351534063E-2</v>
      </c>
      <c r="N267" s="119">
        <f t="shared" si="60"/>
        <v>5.069659016469362E-2</v>
      </c>
      <c r="O267" s="119">
        <f t="shared" si="60"/>
        <v>5.5207717064154074E-2</v>
      </c>
      <c r="P267" s="119">
        <f t="shared" si="60"/>
        <v>4.6809097219039857E-2</v>
      </c>
      <c r="Q267" s="119">
        <f t="shared" si="60"/>
        <v>5.703744802367447E-2</v>
      </c>
      <c r="R267" s="119">
        <f t="shared" si="60"/>
        <v>5.5351232754331681E-2</v>
      </c>
      <c r="S267" s="119">
        <f t="shared" si="60"/>
        <v>5.4647372377046095E-2</v>
      </c>
      <c r="T267" s="119">
        <f t="shared" si="60"/>
        <v>4.5906187717794658E-2</v>
      </c>
      <c r="U267" s="119">
        <f t="shared" si="60"/>
        <v>4.1709851196250813E-2</v>
      </c>
      <c r="V267" s="119">
        <f t="shared" si="60"/>
        <v>3.8173413539174063E-2</v>
      </c>
      <c r="W267" s="119">
        <f t="shared" si="60"/>
        <v>3.2103697797676668E-2</v>
      </c>
      <c r="X267" s="119">
        <f t="shared" si="60"/>
        <v>3.1618072131654754E-2</v>
      </c>
      <c r="Y267" s="80"/>
    </row>
    <row r="268" spans="2:25"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</row>
    <row r="269" spans="2:25">
      <c r="B269" s="88"/>
      <c r="C269" s="89"/>
      <c r="D269" s="106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</row>
    <row r="270" spans="2:25"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</row>
    <row r="271" spans="2:25">
      <c r="B271" s="98" t="s">
        <v>0</v>
      </c>
      <c r="C271" s="95" t="s">
        <v>1</v>
      </c>
      <c r="D271" s="95" t="s">
        <v>2</v>
      </c>
      <c r="E271" s="169">
        <v>2019</v>
      </c>
      <c r="F271" s="169"/>
      <c r="G271" s="169"/>
      <c r="H271" s="169"/>
      <c r="I271" s="169">
        <v>2020</v>
      </c>
      <c r="J271" s="169"/>
      <c r="K271" s="169"/>
      <c r="L271" s="169"/>
      <c r="M271" s="169">
        <v>2021</v>
      </c>
      <c r="N271" s="169"/>
      <c r="O271" s="169"/>
      <c r="P271" s="169"/>
      <c r="Q271" s="169">
        <v>2022</v>
      </c>
      <c r="R271" s="169"/>
      <c r="S271" s="169"/>
      <c r="T271" s="169"/>
      <c r="U271" s="169">
        <v>2023</v>
      </c>
      <c r="V271" s="169"/>
      <c r="W271" s="169"/>
      <c r="X271" s="169"/>
    </row>
    <row r="272" spans="2:25" hidden="1">
      <c r="B272" s="96"/>
      <c r="C272" s="97"/>
      <c r="D272" s="133"/>
      <c r="E272" s="122">
        <v>2019</v>
      </c>
      <c r="F272" s="122"/>
      <c r="G272" s="122"/>
      <c r="H272" s="122"/>
      <c r="I272" s="122">
        <v>2020</v>
      </c>
      <c r="J272" s="122"/>
      <c r="K272" s="122"/>
      <c r="L272" s="122"/>
      <c r="M272" s="122">
        <v>2021</v>
      </c>
      <c r="N272" s="122"/>
      <c r="O272" s="122"/>
      <c r="P272" s="122"/>
      <c r="Q272" s="122">
        <v>2022</v>
      </c>
      <c r="R272" s="122"/>
      <c r="S272" s="122"/>
      <c r="T272" s="122"/>
      <c r="U272" s="122">
        <v>2023</v>
      </c>
      <c r="V272" s="122"/>
      <c r="W272" s="122"/>
      <c r="X272" s="122"/>
      <c r="Y272" s="46"/>
    </row>
    <row r="273" spans="2:25">
      <c r="B273" s="96"/>
      <c r="C273" s="97"/>
      <c r="D273" s="133"/>
      <c r="E273" s="119" t="s">
        <v>5</v>
      </c>
      <c r="F273" s="119" t="s">
        <v>6</v>
      </c>
      <c r="G273" s="119" t="s">
        <v>7</v>
      </c>
      <c r="H273" s="119" t="s">
        <v>8</v>
      </c>
      <c r="I273" s="119" t="s">
        <v>5</v>
      </c>
      <c r="J273" s="119" t="s">
        <v>6</v>
      </c>
      <c r="K273" s="119" t="s">
        <v>7</v>
      </c>
      <c r="L273" s="119" t="s">
        <v>8</v>
      </c>
      <c r="M273" s="119" t="s">
        <v>5</v>
      </c>
      <c r="N273" s="119" t="s">
        <v>6</v>
      </c>
      <c r="O273" s="119" t="s">
        <v>7</v>
      </c>
      <c r="P273" s="119" t="s">
        <v>8</v>
      </c>
      <c r="Q273" s="119" t="s">
        <v>5</v>
      </c>
      <c r="R273" s="119" t="s">
        <v>6</v>
      </c>
      <c r="S273" s="119" t="s">
        <v>7</v>
      </c>
      <c r="T273" s="119" t="s">
        <v>8</v>
      </c>
      <c r="U273" s="119" t="s">
        <v>5</v>
      </c>
      <c r="V273" s="119" t="s">
        <v>6</v>
      </c>
      <c r="W273" s="119" t="s">
        <v>7</v>
      </c>
      <c r="X273" s="119" t="s">
        <v>8</v>
      </c>
    </row>
    <row r="274" spans="2:25" ht="17">
      <c r="B274" s="78">
        <v>1</v>
      </c>
      <c r="C274" s="63" t="str">
        <f>C238</f>
        <v>BARAMULTI SUKSESSARANA TBK</v>
      </c>
      <c r="D274" s="68" t="s">
        <v>111</v>
      </c>
      <c r="E274" s="120">
        <f t="shared" ref="E274:X274" si="61">E10/E9</f>
        <v>0.39842601674603695</v>
      </c>
      <c r="F274" s="120">
        <f t="shared" si="61"/>
        <v>0.35574871310878575</v>
      </c>
      <c r="G274" s="120">
        <f t="shared" si="61"/>
        <v>0.35574871310878575</v>
      </c>
      <c r="H274" s="120">
        <f t="shared" si="61"/>
        <v>0.32057825393837464</v>
      </c>
      <c r="I274" s="120">
        <f t="shared" si="61"/>
        <v>0.30254515729035353</v>
      </c>
      <c r="J274" s="120">
        <f t="shared" si="61"/>
        <v>0.30254515729035353</v>
      </c>
      <c r="K274" s="120">
        <f t="shared" si="61"/>
        <v>0.26846826452581113</v>
      </c>
      <c r="L274" s="120">
        <f t="shared" si="61"/>
        <v>0.27708163953969095</v>
      </c>
      <c r="M274" s="120">
        <f t="shared" si="61"/>
        <v>0.2710761897184959</v>
      </c>
      <c r="N274" s="120">
        <f t="shared" si="61"/>
        <v>0.32934921914839349</v>
      </c>
      <c r="O274" s="120">
        <f t="shared" si="61"/>
        <v>0.36760414469541353</v>
      </c>
      <c r="P274" s="120">
        <f t="shared" si="61"/>
        <v>0.41970456240863302</v>
      </c>
      <c r="Q274" s="120">
        <f t="shared" si="61"/>
        <v>0.27112010859720831</v>
      </c>
      <c r="R274" s="120">
        <f t="shared" si="61"/>
        <v>0.27112010859720831</v>
      </c>
      <c r="S274" s="120">
        <f t="shared" si="61"/>
        <v>0.34034700529033168</v>
      </c>
      <c r="T274" s="120">
        <f t="shared" si="61"/>
        <v>0.4553834101338663</v>
      </c>
      <c r="U274" s="120">
        <f t="shared" si="61"/>
        <v>0.43191422014607611</v>
      </c>
      <c r="V274" s="120">
        <f t="shared" si="61"/>
        <v>0.44726328790545911</v>
      </c>
      <c r="W274" s="120">
        <f t="shared" si="61"/>
        <v>0.49862565226405164</v>
      </c>
      <c r="X274" s="120">
        <f t="shared" si="61"/>
        <v>0.406339220983578</v>
      </c>
      <c r="Y274" s="61"/>
    </row>
    <row r="275" spans="2:25" ht="17">
      <c r="B275" s="78">
        <v>2</v>
      </c>
      <c r="C275" s="63" t="str">
        <f t="shared" ref="C275:C288" si="62">C239</f>
        <v>INDUSTRI JAMU &amp; FARMASI SIDO MUNCUL</v>
      </c>
      <c r="D275" s="68" t="s">
        <v>110</v>
      </c>
      <c r="E275" s="120">
        <f t="shared" ref="E275:X275" si="63">E16/E15</f>
        <v>0.10771537771202308</v>
      </c>
      <c r="F275" s="120">
        <f t="shared" si="63"/>
        <v>9.3005630507033019E-2</v>
      </c>
      <c r="G275" s="120">
        <f t="shared" si="63"/>
        <v>1.317020804593891E-2</v>
      </c>
      <c r="H275" s="120">
        <f t="shared" si="63"/>
        <v>1.317020804593891E-2</v>
      </c>
      <c r="I275" s="120">
        <f t="shared" si="63"/>
        <v>0.11769350620429155</v>
      </c>
      <c r="J275" s="120">
        <f t="shared" si="63"/>
        <v>0.10641963056659444</v>
      </c>
      <c r="K275" s="120">
        <f t="shared" si="63"/>
        <v>0.10675522007301845</v>
      </c>
      <c r="L275" s="120">
        <f t="shared" si="63"/>
        <v>0.16307920268418161</v>
      </c>
      <c r="M275" s="120">
        <f t="shared" si="63"/>
        <v>0.26895826517852756</v>
      </c>
      <c r="N275" s="120">
        <f t="shared" si="63"/>
        <v>1.1916106068715321E-2</v>
      </c>
      <c r="O275" s="120">
        <f t="shared" si="63"/>
        <v>0.16084925906356679</v>
      </c>
      <c r="P275" s="120">
        <f t="shared" si="63"/>
        <v>0.14691310085844822</v>
      </c>
      <c r="Q275" s="120">
        <f t="shared" si="63"/>
        <v>0.27968033628984112</v>
      </c>
      <c r="R275" s="120">
        <f t="shared" si="63"/>
        <v>9.4242721019074105E-2</v>
      </c>
      <c r="S275" s="120">
        <f t="shared" si="63"/>
        <v>8.8016483702706566E-2</v>
      </c>
      <c r="T275" s="120">
        <f t="shared" si="63"/>
        <v>0.1411185066454454</v>
      </c>
      <c r="U275" s="120">
        <f t="shared" si="63"/>
        <v>0.26133207579362444</v>
      </c>
      <c r="V275" s="120">
        <f t="shared" si="63"/>
        <v>8.4224368401352011E-3</v>
      </c>
      <c r="W275" s="120">
        <f t="shared" si="63"/>
        <v>9.2061877895912761E-2</v>
      </c>
      <c r="X275" s="120">
        <f t="shared" si="63"/>
        <v>0.12973609416902743</v>
      </c>
      <c r="Y275" s="61"/>
    </row>
    <row r="276" spans="2:25" ht="17">
      <c r="B276" s="78">
        <v>3</v>
      </c>
      <c r="C276" s="63" t="str">
        <f t="shared" si="62"/>
        <v xml:space="preserve">Siantar Top Tbk </v>
      </c>
      <c r="D276" s="68" t="s">
        <v>113</v>
      </c>
      <c r="E276" s="120">
        <f t="shared" ref="E276:X276" si="64">E22/E21</f>
        <v>0.3673980820792826</v>
      </c>
      <c r="F276" s="120">
        <f t="shared" si="64"/>
        <v>0.26760452934583173</v>
      </c>
      <c r="G276" s="120">
        <f t="shared" si="64"/>
        <v>0.26674966117552029</v>
      </c>
      <c r="H276" s="120">
        <f t="shared" si="64"/>
        <v>0.25456880679059607</v>
      </c>
      <c r="I276" s="120">
        <f t="shared" si="64"/>
        <v>0.25137570079363081</v>
      </c>
      <c r="J276" s="120">
        <f t="shared" si="64"/>
        <v>0.22194405117930002</v>
      </c>
      <c r="K276" s="120">
        <f t="shared" si="64"/>
        <v>0.23739519005670884</v>
      </c>
      <c r="L276" s="120">
        <f t="shared" si="64"/>
        <v>0.22490518173271573</v>
      </c>
      <c r="M276" s="120">
        <f t="shared" si="64"/>
        <v>0.24234843550152285</v>
      </c>
      <c r="N276" s="120">
        <f t="shared" si="64"/>
        <v>0.1492091931548174</v>
      </c>
      <c r="O276" s="120">
        <f t="shared" si="64"/>
        <v>0.16155572974814045</v>
      </c>
      <c r="P276" s="120">
        <f t="shared" si="64"/>
        <v>0.15778428470352843</v>
      </c>
      <c r="Q276" s="120">
        <f t="shared" si="64"/>
        <v>0.16314304913239042</v>
      </c>
      <c r="R276" s="120">
        <f t="shared" si="64"/>
        <v>0.13598102949936125</v>
      </c>
      <c r="S276" s="120">
        <f t="shared" si="64"/>
        <v>0.15103419850231742</v>
      </c>
      <c r="T276" s="120">
        <f t="shared" si="64"/>
        <v>0.14427725948019768</v>
      </c>
      <c r="U276" s="120">
        <f t="shared" si="64"/>
        <v>0.1352437566728821</v>
      </c>
      <c r="V276" s="120">
        <f t="shared" si="64"/>
        <v>0.11824068155782254</v>
      </c>
      <c r="W276" s="120">
        <f t="shared" si="64"/>
        <v>0.12004426090306712</v>
      </c>
      <c r="X276" s="120">
        <f t="shared" si="64"/>
        <v>0.11577820029891261</v>
      </c>
      <c r="Y276" s="61"/>
    </row>
    <row r="277" spans="2:25" ht="17">
      <c r="B277" s="78">
        <v>4</v>
      </c>
      <c r="C277" s="63" t="str">
        <f t="shared" si="62"/>
        <v>Akasha Wira International Tbk</v>
      </c>
      <c r="D277" s="68" t="s">
        <v>115</v>
      </c>
      <c r="E277" s="120">
        <f t="shared" ref="E277:X277" si="65">E28/E27</f>
        <v>0.4233288253589152</v>
      </c>
      <c r="F277" s="120">
        <f t="shared" si="65"/>
        <v>0.40849244746463786</v>
      </c>
      <c r="G277" s="120">
        <f t="shared" si="65"/>
        <v>0.30939413284693723</v>
      </c>
      <c r="H277" s="120">
        <f t="shared" si="65"/>
        <v>0.30939413284693723</v>
      </c>
      <c r="I277" s="120">
        <f t="shared" si="65"/>
        <v>0.30358662657096658</v>
      </c>
      <c r="J277" s="120">
        <f t="shared" si="65"/>
        <v>0.25698056333448643</v>
      </c>
      <c r="K277" s="120">
        <f t="shared" si="65"/>
        <v>0.27858525118406763</v>
      </c>
      <c r="L277" s="120">
        <f t="shared" si="65"/>
        <v>0.26938404720111059</v>
      </c>
      <c r="M277" s="120">
        <f t="shared" si="65"/>
        <v>0.26453638434755761</v>
      </c>
      <c r="N277" s="120">
        <f t="shared" si="65"/>
        <v>0.25759593781230977</v>
      </c>
      <c r="O277" s="120">
        <f t="shared" si="65"/>
        <v>0.26606120152573037</v>
      </c>
      <c r="P277" s="120">
        <f t="shared" si="65"/>
        <v>0.25633689847773344</v>
      </c>
      <c r="Q277" s="120">
        <f t="shared" si="65"/>
        <v>0.2429021990635965</v>
      </c>
      <c r="R277" s="120">
        <f t="shared" si="65"/>
        <v>0.23360078139453894</v>
      </c>
      <c r="S277" s="120">
        <f t="shared" si="65"/>
        <v>0.21513473558627486</v>
      </c>
      <c r="T277" s="120">
        <f t="shared" si="65"/>
        <v>0.18883653321438859</v>
      </c>
      <c r="U277" s="120">
        <f t="shared" si="65"/>
        <v>1.9460885683766121E-2</v>
      </c>
      <c r="V277" s="120">
        <f t="shared" si="65"/>
        <v>0.17703877937144233</v>
      </c>
      <c r="W277" s="120">
        <f t="shared" si="65"/>
        <v>0.16174377535950332</v>
      </c>
      <c r="X277" s="120">
        <f t="shared" si="65"/>
        <v>0.17042828875369154</v>
      </c>
      <c r="Y277" s="61"/>
    </row>
    <row r="278" spans="2:25" ht="17">
      <c r="B278" s="78">
        <v>5</v>
      </c>
      <c r="C278" s="63" t="str">
        <f t="shared" si="62"/>
        <v>PT SELAMAT SEMPURNA Tbk</v>
      </c>
      <c r="D278" s="68" t="s">
        <v>136</v>
      </c>
      <c r="E278" s="120">
        <f t="shared" ref="E278:X278" si="66">E34/E33</f>
        <v>0.2299341878429994</v>
      </c>
      <c r="F278" s="120">
        <f t="shared" si="66"/>
        <v>0.20752080298183628</v>
      </c>
      <c r="G278" s="120">
        <f t="shared" si="66"/>
        <v>0.20752080298183628</v>
      </c>
      <c r="H278" s="120">
        <f t="shared" si="66"/>
        <v>0.21393050037962896</v>
      </c>
      <c r="I278" s="120">
        <f t="shared" si="66"/>
        <v>0.25650192336869393</v>
      </c>
      <c r="J278" s="120">
        <f t="shared" si="66"/>
        <v>0.21301841938840466</v>
      </c>
      <c r="K278" s="120">
        <f t="shared" si="66"/>
        <v>0.19826755634718787</v>
      </c>
      <c r="L278" s="120">
        <f t="shared" si="66"/>
        <v>0.21537858099745047</v>
      </c>
      <c r="M278" s="120">
        <f t="shared" si="66"/>
        <v>0.24499933116095832</v>
      </c>
      <c r="N278" s="120">
        <f t="shared" si="66"/>
        <v>0.29139468998119589</v>
      </c>
      <c r="O278" s="120">
        <f t="shared" si="66"/>
        <v>0.25628893638778177</v>
      </c>
      <c r="P278" s="120">
        <f t="shared" si="66"/>
        <v>0.24741875000969277</v>
      </c>
      <c r="Q278" s="120">
        <f t="shared" si="66"/>
        <v>0.23882109036676089</v>
      </c>
      <c r="R278" s="120">
        <f t="shared" si="66"/>
        <v>0.23739660305887333</v>
      </c>
      <c r="S278" s="120">
        <f t="shared" si="66"/>
        <v>0.26793839664044705</v>
      </c>
      <c r="T278" s="120">
        <f t="shared" si="66"/>
        <v>0.24215694803402246</v>
      </c>
      <c r="U278" s="120">
        <f t="shared" si="66"/>
        <v>0.22463721697458361</v>
      </c>
      <c r="V278" s="120">
        <f t="shared" si="66"/>
        <v>2.1488973841755812E-2</v>
      </c>
      <c r="W278" s="120">
        <f t="shared" si="66"/>
        <v>0.21488051167920155</v>
      </c>
      <c r="X278" s="120">
        <f t="shared" si="66"/>
        <v>2.0651426195677051E-2</v>
      </c>
      <c r="Y278" s="61"/>
    </row>
    <row r="279" spans="2:25" ht="17">
      <c r="B279" s="78">
        <v>6</v>
      </c>
      <c r="C279" s="63" t="str">
        <f t="shared" si="62"/>
        <v>Aneka Tambang Tbk.</v>
      </c>
      <c r="D279" s="68" t="s">
        <v>118</v>
      </c>
      <c r="E279" s="120">
        <f t="shared" ref="E279:X279" si="67">E40/E39</f>
        <v>0.40742503800634738</v>
      </c>
      <c r="F279" s="120">
        <f t="shared" si="67"/>
        <v>0.68811911295993233</v>
      </c>
      <c r="G279" s="120">
        <f t="shared" si="67"/>
        <v>0.38913849257069649</v>
      </c>
      <c r="H279" s="120">
        <f t="shared" si="67"/>
        <v>0.39945438480734519</v>
      </c>
      <c r="I279" s="120">
        <f t="shared" si="67"/>
        <v>0.41422099859107941</v>
      </c>
      <c r="J279" s="120">
        <f t="shared" si="67"/>
        <v>0.39721304868524376</v>
      </c>
      <c r="K279" s="120">
        <f t="shared" si="67"/>
        <v>0.38887019401895812</v>
      </c>
      <c r="L279" s="120">
        <f t="shared" si="67"/>
        <v>0.39994510473404066</v>
      </c>
      <c r="M279" s="120">
        <f t="shared" si="67"/>
        <v>0.39433521161779223</v>
      </c>
      <c r="N279" s="120">
        <f t="shared" si="67"/>
        <v>0.38571585009957515</v>
      </c>
      <c r="O279" s="120">
        <f t="shared" si="67"/>
        <v>0.38908803468885572</v>
      </c>
      <c r="P279" s="120">
        <f t="shared" si="67"/>
        <v>0.36696437864520864</v>
      </c>
      <c r="Q279" s="120">
        <f t="shared" si="67"/>
        <v>0.33433720410127876</v>
      </c>
      <c r="R279" s="120">
        <f t="shared" si="67"/>
        <v>0.33433720410127876</v>
      </c>
      <c r="S279" s="120">
        <f t="shared" si="67"/>
        <v>0.33214069909541938</v>
      </c>
      <c r="T279" s="120">
        <f t="shared" si="67"/>
        <v>0.29506588093903335</v>
      </c>
      <c r="U279" s="120">
        <f t="shared" si="67"/>
        <v>0.27485185428927456</v>
      </c>
      <c r="V279" s="120">
        <f t="shared" si="67"/>
        <v>0.34899767838611401</v>
      </c>
      <c r="W279" s="120">
        <f t="shared" si="67"/>
        <v>0.30657313208846976</v>
      </c>
      <c r="X279" s="120">
        <f t="shared" si="67"/>
        <v>0.27270237056124913</v>
      </c>
      <c r="Y279" s="61"/>
    </row>
    <row r="280" spans="2:25" ht="17">
      <c r="B280" s="78">
        <v>7</v>
      </c>
      <c r="C280" s="63" t="str">
        <f t="shared" si="62"/>
        <v xml:space="preserve">Indo Tambangraya Megah Tbk </v>
      </c>
      <c r="D280" s="68" t="s">
        <v>120</v>
      </c>
      <c r="E280" s="120">
        <f t="shared" ref="E280:X280" si="68">E46/E45</f>
        <v>0.41958339854781523</v>
      </c>
      <c r="F280" s="120">
        <f t="shared" si="68"/>
        <v>0.41958339854781523</v>
      </c>
      <c r="G280" s="120">
        <f t="shared" si="68"/>
        <v>0.30346222839441539</v>
      </c>
      <c r="H280" s="120">
        <f t="shared" si="68"/>
        <v>0.30346222839441539</v>
      </c>
      <c r="I280" s="120">
        <f t="shared" si="68"/>
        <v>0.30189498420711997</v>
      </c>
      <c r="J280" s="120">
        <f t="shared" si="68"/>
        <v>0.29857316913370341</v>
      </c>
      <c r="K280" s="120">
        <f t="shared" si="68"/>
        <v>0.26813765418966146</v>
      </c>
      <c r="L280" s="120">
        <f t="shared" si="68"/>
        <v>0.26957637000282231</v>
      </c>
      <c r="M280" s="120">
        <f t="shared" si="68"/>
        <v>0.26453097130053577</v>
      </c>
      <c r="N280" s="120">
        <f t="shared" si="68"/>
        <v>0.31049521098518074</v>
      </c>
      <c r="O280" s="120">
        <f t="shared" si="68"/>
        <v>0.31243640362499336</v>
      </c>
      <c r="P280" s="120">
        <f t="shared" si="68"/>
        <v>2.7887956049522308E-2</v>
      </c>
      <c r="Q280" s="120">
        <f t="shared" si="68"/>
        <v>0.24918784452010376</v>
      </c>
      <c r="R280" s="120">
        <f t="shared" si="68"/>
        <v>0.24918784452010376</v>
      </c>
      <c r="S280" s="120">
        <f t="shared" si="68"/>
        <v>0.22146412455823483</v>
      </c>
      <c r="T280" s="120">
        <f t="shared" si="68"/>
        <v>0.26130710175870786</v>
      </c>
      <c r="U280" s="120">
        <f t="shared" si="68"/>
        <v>0.39975998956977482</v>
      </c>
      <c r="V280" s="120">
        <f t="shared" si="68"/>
        <v>0.19349243332828933</v>
      </c>
      <c r="W280" s="120">
        <f t="shared" si="68"/>
        <v>0.21348484023505071</v>
      </c>
      <c r="X280" s="120">
        <f t="shared" si="68"/>
        <v>0.1825113913358658</v>
      </c>
      <c r="Y280" s="61"/>
    </row>
    <row r="281" spans="2:25" ht="17">
      <c r="B281" s="78">
        <v>8</v>
      </c>
      <c r="C281" s="63" t="str">
        <f t="shared" si="62"/>
        <v xml:space="preserve">Tambang Batubara Bukit Asam Tbk </v>
      </c>
      <c r="D281" s="68" t="s">
        <v>122</v>
      </c>
      <c r="E281" s="120">
        <f t="shared" ref="E281:X281" si="69">E52/E51</f>
        <v>0.29277771764981392</v>
      </c>
      <c r="F281" s="120">
        <f t="shared" si="69"/>
        <v>0.31298204072499142</v>
      </c>
      <c r="G281" s="120">
        <f t="shared" si="69"/>
        <v>0.31298204072499142</v>
      </c>
      <c r="H281" s="120">
        <f t="shared" si="69"/>
        <v>0.29409191153424019</v>
      </c>
      <c r="I281" s="120">
        <f t="shared" si="69"/>
        <v>0.28139793494914911</v>
      </c>
      <c r="J281" s="120">
        <f t="shared" si="69"/>
        <v>0.40627099096076053</v>
      </c>
      <c r="K281" s="120">
        <f t="shared" si="69"/>
        <v>0.3234366531848889</v>
      </c>
      <c r="L281" s="120">
        <f t="shared" si="69"/>
        <v>0.295865298540888</v>
      </c>
      <c r="M281" s="120">
        <f t="shared" si="69"/>
        <v>0.28379455110743396</v>
      </c>
      <c r="N281" s="120">
        <f t="shared" si="69"/>
        <v>0.35261050185101417</v>
      </c>
      <c r="O281" s="120">
        <f t="shared" si="69"/>
        <v>0.34690946018065838</v>
      </c>
      <c r="P281" s="120">
        <f t="shared" si="69"/>
        <v>0.32859253105917741</v>
      </c>
      <c r="Q281" s="120">
        <f t="shared" si="69"/>
        <v>0.31976476956737504</v>
      </c>
      <c r="R281" s="120">
        <f t="shared" si="69"/>
        <v>0.36778928323567694</v>
      </c>
      <c r="S281" s="120">
        <f t="shared" si="69"/>
        <v>0.35864687831478592</v>
      </c>
      <c r="T281" s="120">
        <f t="shared" si="69"/>
        <v>0.3625098869122646</v>
      </c>
      <c r="U281" s="120">
        <f t="shared" si="69"/>
        <v>0.35952501601033288</v>
      </c>
      <c r="V281" s="120">
        <f t="shared" si="69"/>
        <v>0.39894755717250102</v>
      </c>
      <c r="W281" s="120">
        <f t="shared" si="69"/>
        <v>0.4604103513614507</v>
      </c>
      <c r="X281" s="120">
        <f t="shared" si="69"/>
        <v>0.44374846205444785</v>
      </c>
      <c r="Y281" s="61"/>
    </row>
    <row r="282" spans="2:25" ht="17">
      <c r="B282" s="78">
        <v>9</v>
      </c>
      <c r="C282" s="63" t="str">
        <f t="shared" si="62"/>
        <v>Kalbe Farma Tbk</v>
      </c>
      <c r="D282" s="68" t="s">
        <v>124</v>
      </c>
      <c r="E282" s="120">
        <f t="shared" ref="E282:X282" si="70">E58/E57</f>
        <v>0.17313011441099804</v>
      </c>
      <c r="F282" s="120">
        <f t="shared" si="70"/>
        <v>0.18690177382286668</v>
      </c>
      <c r="G282" s="120">
        <f t="shared" si="70"/>
        <v>0.17648529156896023</v>
      </c>
      <c r="H282" s="120">
        <f t="shared" si="70"/>
        <v>0.17563248745900767</v>
      </c>
      <c r="I282" s="120">
        <f t="shared" si="70"/>
        <v>0.22030489869000699</v>
      </c>
      <c r="J282" s="120">
        <f t="shared" si="70"/>
        <v>0.2222809696853251</v>
      </c>
      <c r="K282" s="120">
        <f t="shared" si="70"/>
        <v>0.20257607759270524</v>
      </c>
      <c r="L282" s="120">
        <f t="shared" si="70"/>
        <v>0.19004436711880532</v>
      </c>
      <c r="M282" s="120">
        <f t="shared" si="70"/>
        <v>0.18703296279879442</v>
      </c>
      <c r="N282" s="120">
        <f t="shared" si="70"/>
        <v>0.17475904153810706</v>
      </c>
      <c r="O282" s="120">
        <f t="shared" si="70"/>
        <v>0.1761682309187457</v>
      </c>
      <c r="P282" s="120">
        <f t="shared" si="70"/>
        <v>0.17145828957921605</v>
      </c>
      <c r="Q282" s="120">
        <f t="shared" si="70"/>
        <v>0.18299745121580691</v>
      </c>
      <c r="R282" s="120">
        <f t="shared" si="70"/>
        <v>0.17945098638849291</v>
      </c>
      <c r="S282" s="120">
        <f t="shared" si="70"/>
        <v>0.19239716847515895</v>
      </c>
      <c r="T282" s="120">
        <f t="shared" si="70"/>
        <v>0.18883028209532232</v>
      </c>
      <c r="U282" s="120">
        <f t="shared" si="70"/>
        <v>0.18833389632869182</v>
      </c>
      <c r="V282" s="120">
        <f t="shared" si="70"/>
        <v>0.20579966815154185</v>
      </c>
      <c r="W282" s="120">
        <f t="shared" si="70"/>
        <v>0.17688430684838555</v>
      </c>
      <c r="X282" s="120">
        <f t="shared" si="70"/>
        <v>0.14552476207675016</v>
      </c>
      <c r="Y282" s="61"/>
    </row>
    <row r="283" spans="2:25" ht="17">
      <c r="B283" s="78">
        <v>10</v>
      </c>
      <c r="C283" s="63" t="str">
        <f t="shared" si="62"/>
        <v>Pakuwon Jati Tbk</v>
      </c>
      <c r="D283" s="68" t="s">
        <v>126</v>
      </c>
      <c r="E283" s="120">
        <f t="shared" ref="E283:X283" si="71">E64/E63</f>
        <v>0.36474198682874892</v>
      </c>
      <c r="F283" s="120">
        <f t="shared" si="71"/>
        <v>0.32331618849571342</v>
      </c>
      <c r="G283" s="120">
        <f t="shared" si="71"/>
        <v>0.32331618849571342</v>
      </c>
      <c r="H283" s="120">
        <f t="shared" si="71"/>
        <v>0.30655157227293556</v>
      </c>
      <c r="I283" s="120">
        <f t="shared" si="71"/>
        <v>0.35704222137400399</v>
      </c>
      <c r="J283" s="120">
        <f t="shared" si="71"/>
        <v>0.35704222137400399</v>
      </c>
      <c r="K283" s="120">
        <f t="shared" si="71"/>
        <v>0.33818803192586017</v>
      </c>
      <c r="L283" s="120">
        <f t="shared" si="71"/>
        <v>0.3348643288975503</v>
      </c>
      <c r="M283" s="120">
        <f t="shared" si="71"/>
        <v>0.33040491267287325</v>
      </c>
      <c r="N283" s="120">
        <f t="shared" si="71"/>
        <v>0.37575661226567802</v>
      </c>
      <c r="O283" s="120">
        <f t="shared" si="71"/>
        <v>0.35832284614878096</v>
      </c>
      <c r="P283" s="120">
        <f t="shared" si="71"/>
        <v>0.33560643811353436</v>
      </c>
      <c r="Q283" s="120">
        <f t="shared" si="71"/>
        <v>0.32579063773181866</v>
      </c>
      <c r="R283" s="120">
        <f t="shared" si="71"/>
        <v>0.32579063773181866</v>
      </c>
      <c r="S283" s="120">
        <f t="shared" si="71"/>
        <v>0.32469059040633563</v>
      </c>
      <c r="T283" s="120">
        <f t="shared" si="71"/>
        <v>0.32298038676102003</v>
      </c>
      <c r="U283" s="120">
        <f t="shared" si="71"/>
        <v>0.31562298143594447</v>
      </c>
      <c r="V283" s="120">
        <f t="shared" si="71"/>
        <v>0.31394529516323672</v>
      </c>
      <c r="W283" s="120">
        <f t="shared" si="71"/>
        <v>0.30919673766921713</v>
      </c>
      <c r="X283" s="120">
        <f t="shared" si="71"/>
        <v>0.30312485670715056</v>
      </c>
      <c r="Y283" s="61"/>
    </row>
    <row r="284" spans="2:25" ht="17">
      <c r="B284" s="78">
        <v>11</v>
      </c>
      <c r="C284" s="63" t="str">
        <f t="shared" si="62"/>
        <v>Surya Citra Media Tbk</v>
      </c>
      <c r="D284" s="68" t="s">
        <v>128</v>
      </c>
      <c r="E284" s="120">
        <f t="shared" ref="E284:X284" si="72">E70/E69</f>
        <v>0.16833417022927408</v>
      </c>
      <c r="F284" s="120">
        <f t="shared" si="72"/>
        <v>0.18580372286871652</v>
      </c>
      <c r="G284" s="120">
        <f t="shared" si="72"/>
        <v>0.18571435568794095</v>
      </c>
      <c r="H284" s="120">
        <f t="shared" si="72"/>
        <v>0.18284591307492287</v>
      </c>
      <c r="I284" s="120">
        <f t="shared" si="72"/>
        <v>0.19468629883241842</v>
      </c>
      <c r="J284" s="120">
        <f t="shared" si="72"/>
        <v>0.17007420322933317</v>
      </c>
      <c r="K284" s="120">
        <f t="shared" si="72"/>
        <v>0.19148719246720575</v>
      </c>
      <c r="L284" s="120">
        <f t="shared" si="72"/>
        <v>0.42416992477357179</v>
      </c>
      <c r="M284" s="120">
        <f t="shared" si="72"/>
        <v>0.3825090670579338</v>
      </c>
      <c r="N284" s="120">
        <f t="shared" si="72"/>
        <v>0.32609920314907065</v>
      </c>
      <c r="O284" s="120">
        <f t="shared" si="72"/>
        <v>0.28485219764833064</v>
      </c>
      <c r="P284" s="120">
        <f t="shared" si="72"/>
        <v>0.24736761508148669</v>
      </c>
      <c r="Q284" s="120">
        <f t="shared" si="72"/>
        <v>0.23587791655912693</v>
      </c>
      <c r="R284" s="120">
        <f t="shared" si="72"/>
        <v>0.22167544137381134</v>
      </c>
      <c r="S284" s="120">
        <f t="shared" si="72"/>
        <v>0.22167544137381134</v>
      </c>
      <c r="T284" s="120">
        <f t="shared" si="72"/>
        <v>0.20529074684967888</v>
      </c>
      <c r="U284" s="120">
        <f t="shared" si="72"/>
        <v>0.18042336499709377</v>
      </c>
      <c r="V284" s="120">
        <f t="shared" si="72"/>
        <v>0.21712599677960084</v>
      </c>
      <c r="W284" s="120">
        <f t="shared" si="72"/>
        <v>0.20002150460242957</v>
      </c>
      <c r="X284" s="120">
        <f t="shared" si="72"/>
        <v>0.23252050064857988</v>
      </c>
      <c r="Y284" s="61"/>
    </row>
    <row r="285" spans="2:25" ht="17">
      <c r="B285" s="78">
        <v>12</v>
      </c>
      <c r="C285" s="63" t="str">
        <f t="shared" si="62"/>
        <v>United Tractors Tbk</v>
      </c>
      <c r="D285" s="68" t="s">
        <v>130</v>
      </c>
      <c r="E285" s="120">
        <f t="shared" ref="E285:X285" si="73">E76/E75</f>
        <v>0.48889075770700102</v>
      </c>
      <c r="F285" s="120">
        <f t="shared" si="73"/>
        <v>0.48875027017783246</v>
      </c>
      <c r="G285" s="120">
        <f t="shared" si="73"/>
        <v>0.48875027017783246</v>
      </c>
      <c r="H285" s="120">
        <f t="shared" si="73"/>
        <v>0.45297441779017061</v>
      </c>
      <c r="I285" s="120">
        <f t="shared" si="73"/>
        <v>0.42216982866432828</v>
      </c>
      <c r="J285" s="120">
        <f t="shared" si="73"/>
        <v>0.40911100668131201</v>
      </c>
      <c r="K285" s="120">
        <f t="shared" si="73"/>
        <v>0.38764824855312929</v>
      </c>
      <c r="L285" s="120">
        <f t="shared" si="73"/>
        <v>0.36726923166062037</v>
      </c>
      <c r="M285" s="120">
        <f t="shared" si="73"/>
        <v>0.36331896397079028</v>
      </c>
      <c r="N285" s="120">
        <f t="shared" si="73"/>
        <v>0.36688754903668624</v>
      </c>
      <c r="O285" s="120">
        <f t="shared" si="73"/>
        <v>0.37245531158015482</v>
      </c>
      <c r="P285" s="120">
        <f t="shared" si="73"/>
        <v>0.36192349175324434</v>
      </c>
      <c r="Q285" s="120">
        <f t="shared" si="73"/>
        <v>0.35783437807273127</v>
      </c>
      <c r="R285" s="120">
        <f t="shared" si="73"/>
        <v>0.36580655183351157</v>
      </c>
      <c r="S285" s="120">
        <f t="shared" si="73"/>
        <v>0.40234350902699983</v>
      </c>
      <c r="T285" s="120">
        <f t="shared" si="73"/>
        <v>0.36279214671142618</v>
      </c>
      <c r="U285" s="120">
        <f t="shared" si="73"/>
        <v>0.39154795522385621</v>
      </c>
      <c r="V285" s="120">
        <f t="shared" si="73"/>
        <v>0.43611889758997607</v>
      </c>
      <c r="W285" s="120">
        <f t="shared" si="73"/>
        <v>0.48566664727285452</v>
      </c>
      <c r="X285" s="120">
        <f t="shared" si="73"/>
        <v>0.45441460192418731</v>
      </c>
      <c r="Y285" s="61"/>
    </row>
    <row r="286" spans="2:25" ht="17">
      <c r="B286" s="78">
        <v>13</v>
      </c>
      <c r="C286" s="63" t="str">
        <f t="shared" si="62"/>
        <v>Vale Indonesia Tbk</v>
      </c>
      <c r="D286" s="68" t="s">
        <v>133</v>
      </c>
      <c r="E286" s="120">
        <f t="shared" ref="E286:X286" si="74">E82/E81</f>
        <v>0.13070615643212258</v>
      </c>
      <c r="F286" s="120">
        <f t="shared" si="74"/>
        <v>0.11913343881806539</v>
      </c>
      <c r="G286" s="120">
        <f t="shared" si="74"/>
        <v>0.11913343881806539</v>
      </c>
      <c r="H286" s="120">
        <f t="shared" si="74"/>
        <v>0.12642125210555868</v>
      </c>
      <c r="I286" s="120">
        <f t="shared" si="74"/>
        <v>1.0308668491714476E-2</v>
      </c>
      <c r="J286" s="120">
        <f t="shared" si="74"/>
        <v>0.10835788352948907</v>
      </c>
      <c r="K286" s="120">
        <f t="shared" si="74"/>
        <v>0.11413007697594864</v>
      </c>
      <c r="L286" s="120">
        <f t="shared" si="74"/>
        <v>1.2713325251505838E-2</v>
      </c>
      <c r="M286" s="120">
        <f t="shared" si="74"/>
        <v>0.11724829688152689</v>
      </c>
      <c r="N286" s="120">
        <f t="shared" si="74"/>
        <v>0.12434305807109866</v>
      </c>
      <c r="O286" s="120">
        <f t="shared" si="74"/>
        <v>0.12160426084969793</v>
      </c>
      <c r="P286" s="120">
        <f t="shared" si="74"/>
        <v>0.1287461157832247</v>
      </c>
      <c r="Q286" s="120">
        <f t="shared" si="74"/>
        <v>0.12649926569787004</v>
      </c>
      <c r="R286" s="120">
        <f t="shared" si="74"/>
        <v>0.11932493127236395</v>
      </c>
      <c r="S286" s="120">
        <f t="shared" si="74"/>
        <v>0.12524313488756389</v>
      </c>
      <c r="T286" s="120">
        <f t="shared" si="74"/>
        <v>0.11411691589080386</v>
      </c>
      <c r="U286" s="120">
        <f t="shared" si="74"/>
        <v>0.12196655962319169</v>
      </c>
      <c r="V286" s="120">
        <f t="shared" si="74"/>
        <v>0.1231253617910231</v>
      </c>
      <c r="W286" s="120">
        <f t="shared" si="74"/>
        <v>0.12120887140073995</v>
      </c>
      <c r="X286" s="120">
        <f t="shared" si="74"/>
        <v>0.12353456033306914</v>
      </c>
      <c r="Y286" s="61"/>
    </row>
    <row r="287" spans="2:25" ht="17">
      <c r="B287" s="78">
        <v>14</v>
      </c>
      <c r="C287" s="63" t="str">
        <f t="shared" si="62"/>
        <v xml:space="preserve">PT Chitose Internasional Tbk </v>
      </c>
      <c r="D287" s="68" t="s">
        <v>132</v>
      </c>
      <c r="E287" s="120">
        <f t="shared" ref="E287:X287" si="75">E88/E87</f>
        <v>0.19784151261491389</v>
      </c>
      <c r="F287" s="120">
        <f t="shared" si="75"/>
        <v>0.21518125460099136</v>
      </c>
      <c r="G287" s="120">
        <f t="shared" si="75"/>
        <v>0.23649236419298278</v>
      </c>
      <c r="H287" s="120">
        <f t="shared" si="75"/>
        <v>0.25277843002164357</v>
      </c>
      <c r="I287" s="120">
        <f t="shared" si="75"/>
        <v>0.25192445190514912</v>
      </c>
      <c r="J287" s="120">
        <f t="shared" si="75"/>
        <v>0.24437261215866479</v>
      </c>
      <c r="K287" s="120">
        <f t="shared" si="75"/>
        <v>0.23084022476973848</v>
      </c>
      <c r="L287" s="120">
        <f t="shared" si="75"/>
        <v>0.22622205379856791</v>
      </c>
      <c r="M287" s="120">
        <f t="shared" si="75"/>
        <v>0.25160545149100544</v>
      </c>
      <c r="N287" s="120">
        <f t="shared" si="75"/>
        <v>0.25024107757902603</v>
      </c>
      <c r="O287" s="120">
        <f t="shared" si="75"/>
        <v>0.26858228613397417</v>
      </c>
      <c r="P287" s="120">
        <f t="shared" si="75"/>
        <v>0.29061002133538832</v>
      </c>
      <c r="Q287" s="120">
        <f t="shared" si="75"/>
        <v>0.32587970797867344</v>
      </c>
      <c r="R287" s="120">
        <f t="shared" si="75"/>
        <v>0.32587970797867344</v>
      </c>
      <c r="S287" s="120">
        <f t="shared" si="75"/>
        <v>0.33777295396637641</v>
      </c>
      <c r="T287" s="120">
        <f t="shared" si="75"/>
        <v>0.30890491656827723</v>
      </c>
      <c r="U287" s="120">
        <f t="shared" si="75"/>
        <v>0.33882414899428503</v>
      </c>
      <c r="V287" s="120">
        <f t="shared" si="75"/>
        <v>0.34976539844567983</v>
      </c>
      <c r="W287" s="120">
        <f t="shared" si="75"/>
        <v>0.31359336086956952</v>
      </c>
      <c r="X287" s="120">
        <f t="shared" si="75"/>
        <v>0.34408962384857089</v>
      </c>
      <c r="Y287" s="61"/>
    </row>
    <row r="288" spans="2:25" ht="17">
      <c r="B288" s="78">
        <v>15</v>
      </c>
      <c r="C288" s="63" t="str">
        <f t="shared" si="62"/>
        <v>Ekadharma International Tbk</v>
      </c>
      <c r="D288" s="68" t="s">
        <v>135</v>
      </c>
      <c r="E288" s="120">
        <f t="shared" ref="E288:X288" si="76">E94/E93</f>
        <v>0.14315493274392305</v>
      </c>
      <c r="F288" s="120">
        <f t="shared" si="76"/>
        <v>0.12209881606791341</v>
      </c>
      <c r="G288" s="120">
        <f t="shared" si="76"/>
        <v>0.12107122635105494</v>
      </c>
      <c r="H288" s="120">
        <f t="shared" si="76"/>
        <v>0.11948636070903347</v>
      </c>
      <c r="I288" s="120">
        <f t="shared" si="76"/>
        <v>0.11552171667855174</v>
      </c>
      <c r="J288" s="120">
        <f t="shared" si="76"/>
        <v>8.7232899520125987E-2</v>
      </c>
      <c r="K288" s="120">
        <f t="shared" si="76"/>
        <v>0.11549892855207214</v>
      </c>
      <c r="L288" s="120">
        <f t="shared" si="76"/>
        <v>0.11979637723535232</v>
      </c>
      <c r="M288" s="120">
        <f t="shared" si="76"/>
        <v>0.12252208073565327</v>
      </c>
      <c r="N288" s="120">
        <f t="shared" si="76"/>
        <v>0.12009840067559367</v>
      </c>
      <c r="O288" s="120">
        <f t="shared" si="76"/>
        <v>0.12896076065845224</v>
      </c>
      <c r="P288" s="120">
        <f t="shared" si="76"/>
        <v>0.1159655006281964</v>
      </c>
      <c r="Q288" s="120">
        <f t="shared" si="76"/>
        <v>9.4310393320968341E-2</v>
      </c>
      <c r="R288" s="120">
        <f t="shared" si="76"/>
        <v>9.7436320434644175E-2</v>
      </c>
      <c r="S288" s="120">
        <f t="shared" si="76"/>
        <v>9.3981622767377981E-2</v>
      </c>
      <c r="T288" s="120">
        <f t="shared" si="76"/>
        <v>8.8797970790676375E-2</v>
      </c>
      <c r="U288" s="120">
        <f t="shared" si="76"/>
        <v>8.4296991036816399E-2</v>
      </c>
      <c r="V288" s="120">
        <f t="shared" si="76"/>
        <v>9.9809282560131538E-2</v>
      </c>
      <c r="W288" s="120">
        <f t="shared" si="76"/>
        <v>7.8007480572104562E-2</v>
      </c>
      <c r="X288" s="120">
        <f t="shared" si="76"/>
        <v>7.977825095354267E-2</v>
      </c>
      <c r="Y288" s="61"/>
    </row>
    <row r="289" spans="2:25" ht="17">
      <c r="B289" s="78">
        <v>16</v>
      </c>
      <c r="C289" s="63" t="str">
        <f>C95</f>
        <v xml:space="preserve">PT Borneo Olah Sarana Sukses Tbk </v>
      </c>
      <c r="D289" s="68" t="s">
        <v>139</v>
      </c>
      <c r="E289" s="120">
        <f>E100/E99</f>
        <v>0.64445939069745217</v>
      </c>
      <c r="F289" s="120">
        <f t="shared" ref="F289:X289" si="77">F100/F99</f>
        <v>0.63160292553497399</v>
      </c>
      <c r="G289" s="120">
        <f t="shared" si="77"/>
        <v>0.72681732519187559</v>
      </c>
      <c r="H289" s="120">
        <f t="shared" si="77"/>
        <v>0.76599948954909924</v>
      </c>
      <c r="I289" s="120">
        <f t="shared" si="77"/>
        <v>0.77814631461866113</v>
      </c>
      <c r="J289" s="120">
        <f t="shared" si="77"/>
        <v>0.77782101454104169</v>
      </c>
      <c r="K289" s="120">
        <f t="shared" si="77"/>
        <v>0.75587743437453336</v>
      </c>
      <c r="L289" s="120">
        <f t="shared" si="77"/>
        <v>0.80766929587668257</v>
      </c>
      <c r="M289" s="120">
        <f t="shared" si="77"/>
        <v>0.87504895005536087</v>
      </c>
      <c r="N289" s="120">
        <f t="shared" si="77"/>
        <v>0.9215433948483458</v>
      </c>
      <c r="O289" s="120">
        <f t="shared" si="77"/>
        <v>0.95408692280474838</v>
      </c>
      <c r="P289" s="120">
        <f t="shared" si="77"/>
        <v>1.039606551415772</v>
      </c>
      <c r="Q289" s="120">
        <f t="shared" si="77"/>
        <v>1.1490169555473082</v>
      </c>
      <c r="R289" s="120">
        <f t="shared" si="77"/>
        <v>1.129260085659231</v>
      </c>
      <c r="S289" s="120">
        <f t="shared" si="77"/>
        <v>1.0860761217171477</v>
      </c>
      <c r="T289" s="120">
        <f t="shared" si="77"/>
        <v>0.97822211744039655</v>
      </c>
      <c r="U289" s="120">
        <f t="shared" si="77"/>
        <v>1.0563335527313178</v>
      </c>
      <c r="V289" s="120">
        <f t="shared" si="77"/>
        <v>1.110583919203461</v>
      </c>
      <c r="W289" s="120">
        <f t="shared" si="77"/>
        <v>1.1807908747890432</v>
      </c>
      <c r="X289" s="120">
        <f t="shared" si="77"/>
        <v>1.2644253066604421</v>
      </c>
      <c r="Y289" s="61"/>
    </row>
    <row r="290" spans="2:25" ht="17">
      <c r="B290" s="78">
        <v>17</v>
      </c>
      <c r="C290" s="63" t="str">
        <f>C101</f>
        <v>PT ETERINDO WAHANATAMA</v>
      </c>
      <c r="D290" s="68" t="s">
        <v>142</v>
      </c>
      <c r="E290" s="120">
        <f>E106/E105</f>
        <v>1.2291734549182507</v>
      </c>
      <c r="F290" s="120">
        <f t="shared" ref="F290:X290" si="78">F106/F105</f>
        <v>1.2373143494486272</v>
      </c>
      <c r="G290" s="120">
        <f t="shared" si="78"/>
        <v>1.4084100037297285</v>
      </c>
      <c r="H290" s="120">
        <f t="shared" si="78"/>
        <v>1.3688108689267089</v>
      </c>
      <c r="I290" s="120">
        <f t="shared" si="78"/>
        <v>1.3004655340662914</v>
      </c>
      <c r="J290" s="120">
        <f t="shared" si="78"/>
        <v>1.3082673703662508</v>
      </c>
      <c r="K290" s="120">
        <f t="shared" si="78"/>
        <v>1.4084100037293561</v>
      </c>
      <c r="L290" s="120">
        <f t="shared" si="78"/>
        <v>1.3688108689263714</v>
      </c>
      <c r="M290" s="120">
        <f t="shared" si="78"/>
        <v>1.3967383032445713</v>
      </c>
      <c r="N290" s="120">
        <f t="shared" si="78"/>
        <v>1.2540275849345912</v>
      </c>
      <c r="O290" s="120">
        <f t="shared" si="78"/>
        <v>1.2673865322588174</v>
      </c>
      <c r="P290" s="120">
        <f t="shared" si="78"/>
        <v>1.2830684054079355</v>
      </c>
      <c r="Q290" s="120">
        <f t="shared" si="78"/>
        <v>1.315056014089955</v>
      </c>
      <c r="R290" s="120">
        <f t="shared" si="78"/>
        <v>1.1089799915269367</v>
      </c>
      <c r="S290" s="120">
        <f t="shared" si="78"/>
        <v>1.135239491163889</v>
      </c>
      <c r="T290" s="120">
        <f t="shared" si="78"/>
        <v>1.1700947837398987</v>
      </c>
      <c r="U290" s="120">
        <f t="shared" si="78"/>
        <v>1.3935788786095193</v>
      </c>
      <c r="V290" s="120">
        <f t="shared" si="78"/>
        <v>1.4446630633557402</v>
      </c>
      <c r="W290" s="120">
        <f t="shared" si="78"/>
        <v>1.4552301461110375</v>
      </c>
      <c r="X290" s="120">
        <f t="shared" si="78"/>
        <v>1.4651751995878042</v>
      </c>
      <c r="Y290" s="61"/>
    </row>
    <row r="291" spans="2:25" ht="16" customHeight="1">
      <c r="B291" s="78">
        <v>18</v>
      </c>
      <c r="C291" s="63" t="str">
        <f>C107</f>
        <v>PT Cowel Development Tbk</v>
      </c>
      <c r="D291" s="68" t="s">
        <v>222</v>
      </c>
      <c r="E291" s="120">
        <f>E112/E111</f>
        <v>0.64175263260697435</v>
      </c>
      <c r="F291" s="120">
        <f t="shared" ref="F291:X291" si="79">F112/F111</f>
        <v>0.66478518415369403</v>
      </c>
      <c r="G291" s="120">
        <f t="shared" si="79"/>
        <v>0.71126530968672286</v>
      </c>
      <c r="H291" s="120">
        <f t="shared" si="79"/>
        <v>0.66837713588672132</v>
      </c>
      <c r="I291" s="120">
        <f t="shared" si="79"/>
        <v>0.65184286296491223</v>
      </c>
      <c r="J291" s="120">
        <f t="shared" si="79"/>
        <v>0.66319074953312951</v>
      </c>
      <c r="K291" s="120">
        <f t="shared" si="79"/>
        <v>0.65444473515265311</v>
      </c>
      <c r="L291" s="120">
        <f t="shared" si="79"/>
        <v>0.65642380511972054</v>
      </c>
      <c r="M291" s="120">
        <f t="shared" si="79"/>
        <v>0.65733938859623631</v>
      </c>
      <c r="N291" s="120">
        <f t="shared" si="79"/>
        <v>0.65914512316524143</v>
      </c>
      <c r="O291" s="120">
        <f t="shared" si="79"/>
        <v>0.66869517567607606</v>
      </c>
      <c r="P291" s="120">
        <f t="shared" si="79"/>
        <v>0.68484768848653022</v>
      </c>
      <c r="Q291" s="120">
        <f t="shared" si="79"/>
        <v>0.68872759520980986</v>
      </c>
      <c r="R291" s="120">
        <f t="shared" si="79"/>
        <v>0.70844921907033742</v>
      </c>
      <c r="S291" s="120">
        <f t="shared" si="79"/>
        <v>0.74178244840467533</v>
      </c>
      <c r="T291" s="120">
        <f t="shared" si="79"/>
        <v>0.75401078695256885</v>
      </c>
      <c r="U291" s="120">
        <f t="shared" si="79"/>
        <v>0.75527669744493353</v>
      </c>
      <c r="V291" s="120">
        <f t="shared" si="79"/>
        <v>0.752563055635461</v>
      </c>
      <c r="W291" s="120">
        <f t="shared" si="79"/>
        <v>0.75624500495333558</v>
      </c>
      <c r="X291" s="120">
        <f t="shared" si="79"/>
        <v>1.0075590117242819</v>
      </c>
      <c r="Y291" s="61"/>
    </row>
    <row r="292" spans="2:25" ht="17">
      <c r="B292" s="78">
        <v>19</v>
      </c>
      <c r="C292" s="63" t="str">
        <f>C191</f>
        <v>Ebit</v>
      </c>
      <c r="D292" s="68" t="s">
        <v>223</v>
      </c>
      <c r="E292" s="120">
        <f>E196/E195</f>
        <v>0.66203916081658798</v>
      </c>
      <c r="F292" s="120">
        <f t="shared" ref="F292:X292" si="80">F196/F195</f>
        <v>0.6400690199570902</v>
      </c>
      <c r="G292" s="120">
        <f t="shared" si="80"/>
        <v>0.63787247234673838</v>
      </c>
      <c r="H292" s="120">
        <f t="shared" si="80"/>
        <v>0.63663998694356772</v>
      </c>
      <c r="I292" s="120">
        <f t="shared" si="80"/>
        <v>0.62337406125460926</v>
      </c>
      <c r="J292" s="120">
        <f t="shared" si="80"/>
        <v>0.61977108425722094</v>
      </c>
      <c r="K292" s="120">
        <f t="shared" si="80"/>
        <v>0.61112445051900555</v>
      </c>
      <c r="L292" s="120">
        <f t="shared" si="80"/>
        <v>0.59332494921157009</v>
      </c>
      <c r="M292" s="120">
        <f t="shared" si="80"/>
        <v>0.57951222184497531</v>
      </c>
      <c r="N292" s="120">
        <f t="shared" si="80"/>
        <v>0.5680799702224949</v>
      </c>
      <c r="O292" s="120">
        <f t="shared" si="80"/>
        <v>0.55905289272446945</v>
      </c>
      <c r="P292" s="120">
        <f t="shared" si="80"/>
        <v>0.55369098069984357</v>
      </c>
      <c r="Q292" s="120">
        <f t="shared" si="80"/>
        <v>0.55534438604442149</v>
      </c>
      <c r="R292" s="120">
        <f t="shared" si="80"/>
        <v>0.54791640358226401</v>
      </c>
      <c r="S292" s="120">
        <f t="shared" si="80"/>
        <v>0.5609598796466948</v>
      </c>
      <c r="T292" s="120">
        <f t="shared" si="80"/>
        <v>0.56142645079066378</v>
      </c>
      <c r="U292" s="120">
        <f t="shared" si="80"/>
        <v>0.57111127732016087</v>
      </c>
      <c r="V292" s="120">
        <f t="shared" si="80"/>
        <v>0.56283870130712599</v>
      </c>
      <c r="W292" s="120">
        <f t="shared" si="80"/>
        <v>0.56062740342796014</v>
      </c>
      <c r="X292" s="120">
        <f t="shared" si="80"/>
        <v>0.5828759576719712</v>
      </c>
      <c r="Y292" s="61"/>
    </row>
    <row r="293" spans="2:25" ht="17">
      <c r="B293" s="78">
        <v>20</v>
      </c>
      <c r="C293" s="63" t="str">
        <f>C119</f>
        <v>PT Grand Kartech Tbk</v>
      </c>
      <c r="D293" s="68" t="s">
        <v>148</v>
      </c>
      <c r="E293" s="120">
        <f>E124/E123</f>
        <v>0.61047598137509873</v>
      </c>
      <c r="F293" s="120">
        <f t="shared" ref="F293:X293" si="81">F124/F123</f>
        <v>0.61375348449224809</v>
      </c>
      <c r="G293" s="120">
        <f t="shared" si="81"/>
        <v>0.62428330896193784</v>
      </c>
      <c r="H293" s="120">
        <f t="shared" si="81"/>
        <v>0.63233533385024498</v>
      </c>
      <c r="I293" s="120">
        <f t="shared" si="81"/>
        <v>0.66905342667078305</v>
      </c>
      <c r="J293" s="120">
        <f t="shared" si="81"/>
        <v>0.66124674022343688</v>
      </c>
      <c r="K293" s="120">
        <f t="shared" si="81"/>
        <v>0.67024056277959887</v>
      </c>
      <c r="L293" s="120">
        <f t="shared" si="81"/>
        <v>0.65110185864876302</v>
      </c>
      <c r="M293" s="120">
        <f t="shared" si="81"/>
        <v>0.70244606958406919</v>
      </c>
      <c r="N293" s="120">
        <f t="shared" si="81"/>
        <v>0.69141245192406264</v>
      </c>
      <c r="O293" s="120">
        <f t="shared" si="81"/>
        <v>0.70374402844367767</v>
      </c>
      <c r="P293" s="120">
        <f t="shared" si="81"/>
        <v>0.70202696587888069</v>
      </c>
      <c r="Q293" s="120">
        <f t="shared" si="81"/>
        <v>0.80586420241430656</v>
      </c>
      <c r="R293" s="120">
        <f t="shared" si="81"/>
        <v>0.82398530476397136</v>
      </c>
      <c r="S293" s="120">
        <f t="shared" si="81"/>
        <v>0.835916673180082</v>
      </c>
      <c r="T293" s="120">
        <f t="shared" si="81"/>
        <v>0.80059428494042129</v>
      </c>
      <c r="U293" s="120">
        <f t="shared" si="81"/>
        <v>0.9031568325098458</v>
      </c>
      <c r="V293" s="120">
        <f t="shared" si="81"/>
        <v>0.93135161428764357</v>
      </c>
      <c r="W293" s="120">
        <f t="shared" si="81"/>
        <v>0.93121333618862834</v>
      </c>
      <c r="X293" s="120">
        <f t="shared" si="81"/>
        <v>0.94230703744690525</v>
      </c>
      <c r="Y293" s="61"/>
    </row>
    <row r="294" spans="2:25" ht="17">
      <c r="B294" s="78">
        <v>21</v>
      </c>
      <c r="C294" s="63" t="str">
        <f>C125</f>
        <v>Prima Alloy Steel Universal</v>
      </c>
      <c r="D294" s="68" t="s">
        <v>151</v>
      </c>
      <c r="E294" s="120">
        <f>E130/E129</f>
        <v>0.57926561458066239</v>
      </c>
      <c r="F294" s="120">
        <f t="shared" ref="F294:X294" si="82">F130/F129</f>
        <v>0.56672089835533956</v>
      </c>
      <c r="G294" s="120">
        <f t="shared" si="82"/>
        <v>0.55474170027494174</v>
      </c>
      <c r="H294" s="120">
        <f t="shared" si="82"/>
        <v>0.58991495449222586</v>
      </c>
      <c r="I294" s="120">
        <f t="shared" si="82"/>
        <v>0.61033471289870633</v>
      </c>
      <c r="J294" s="120">
        <f t="shared" si="82"/>
        <v>0.6960383049389367</v>
      </c>
      <c r="K294" s="120">
        <f t="shared" si="82"/>
        <v>0.67165091514622155</v>
      </c>
      <c r="L294" s="120">
        <f t="shared" si="82"/>
        <v>0.67872547185504384</v>
      </c>
      <c r="M294" s="120">
        <f t="shared" si="82"/>
        <v>0.68851083133045898</v>
      </c>
      <c r="N294" s="120">
        <f t="shared" si="82"/>
        <v>0.71105556130987213</v>
      </c>
      <c r="O294" s="120">
        <f t="shared" si="82"/>
        <v>0.68399248138018154</v>
      </c>
      <c r="P294" s="120">
        <f t="shared" si="82"/>
        <v>0.70081116038884972</v>
      </c>
      <c r="Q294" s="120">
        <f t="shared" si="82"/>
        <v>0.70243396482031784</v>
      </c>
      <c r="R294" s="120">
        <f t="shared" si="82"/>
        <v>0.70397308983526363</v>
      </c>
      <c r="S294" s="120">
        <f t="shared" si="82"/>
        <v>0.71438197499777611</v>
      </c>
      <c r="T294" s="120">
        <f t="shared" si="82"/>
        <v>0.76255016744101078</v>
      </c>
      <c r="U294" s="120">
        <f t="shared" si="82"/>
        <v>0.76255016744101078</v>
      </c>
      <c r="V294" s="120">
        <f t="shared" si="82"/>
        <v>0.76726867674869037</v>
      </c>
      <c r="W294" s="120">
        <f t="shared" si="82"/>
        <v>0.77840409467493399</v>
      </c>
      <c r="X294" s="120">
        <f t="shared" si="82"/>
        <v>0.82830356034846975</v>
      </c>
      <c r="Y294" s="61"/>
    </row>
    <row r="295" spans="2:25" ht="17">
      <c r="B295" s="78">
        <v>22</v>
      </c>
      <c r="C295" s="63" t="str">
        <f>C185</f>
        <v>EXPRESS, INC.</v>
      </c>
      <c r="D295" s="68" t="s">
        <v>224</v>
      </c>
      <c r="E295" s="120">
        <f>E190/E189</f>
        <v>0.46147298014866189</v>
      </c>
      <c r="F295" s="120">
        <f t="shared" ref="F295:X295" si="83">F190/F189</f>
        <v>0.73397730836742781</v>
      </c>
      <c r="G295" s="120">
        <f t="shared" si="83"/>
        <v>0.72792453694253212</v>
      </c>
      <c r="H295" s="120">
        <f t="shared" si="83"/>
        <v>0.73579176039046856</v>
      </c>
      <c r="I295" s="120">
        <f t="shared" si="83"/>
        <v>0.7731093140876476</v>
      </c>
      <c r="J295" s="120">
        <f t="shared" si="83"/>
        <v>0.85870594669583544</v>
      </c>
      <c r="K295" s="120">
        <f t="shared" si="83"/>
        <v>0.91177425739757878</v>
      </c>
      <c r="L295" s="120">
        <f t="shared" si="83"/>
        <v>0.96362594650586009</v>
      </c>
      <c r="M295" s="120">
        <f t="shared" si="83"/>
        <v>0.99335667763945046</v>
      </c>
      <c r="N295" s="120">
        <f t="shared" si="83"/>
        <v>1.0253629138027736</v>
      </c>
      <c r="O295" s="120">
        <f t="shared" si="83"/>
        <v>1.0187894879956494</v>
      </c>
      <c r="P295" s="120">
        <f t="shared" si="83"/>
        <v>1.0061693431450736</v>
      </c>
      <c r="Q295" s="120">
        <f t="shared" si="83"/>
        <v>0.99896145472561915</v>
      </c>
      <c r="R295" s="120">
        <f t="shared" si="83"/>
        <v>1.0082099230934256</v>
      </c>
      <c r="S295" s="120">
        <f t="shared" si="83"/>
        <v>1.0004411176700732</v>
      </c>
      <c r="T295" s="120">
        <f t="shared" si="83"/>
        <v>1.0265370758191636</v>
      </c>
      <c r="U295" s="120">
        <f t="shared" si="83"/>
        <v>0.7800446963331128</v>
      </c>
      <c r="V295" s="120">
        <f t="shared" si="83"/>
        <v>0.82591502850334009</v>
      </c>
      <c r="W295" s="120">
        <f t="shared" si="83"/>
        <v>0.87196158764986742</v>
      </c>
      <c r="X295" s="120">
        <f t="shared" si="83"/>
        <v>0.89919659780427019</v>
      </c>
      <c r="Y295" s="61"/>
    </row>
    <row r="296" spans="2:25" ht="17">
      <c r="B296" s="78">
        <v>23</v>
      </c>
      <c r="C296" s="63" t="str">
        <f>C137</f>
        <v>Bumi Resources Tbk</v>
      </c>
      <c r="D296" s="68" t="s">
        <v>154</v>
      </c>
      <c r="E296" s="120">
        <f>E142/E141</f>
        <v>0.85762908775387936</v>
      </c>
      <c r="F296" s="120">
        <f t="shared" ref="F296:X296" si="84">F142/F141</f>
        <v>0.83841607198156753</v>
      </c>
      <c r="G296" s="120">
        <f t="shared" si="84"/>
        <v>1.0334389038217175</v>
      </c>
      <c r="H296" s="120">
        <f t="shared" si="84"/>
        <v>0.86228397880608476</v>
      </c>
      <c r="I296" s="120">
        <f t="shared" si="84"/>
        <v>0.86823639057988977</v>
      </c>
      <c r="J296" s="120">
        <f t="shared" si="84"/>
        <v>0.86651358616496432</v>
      </c>
      <c r="K296" s="120">
        <f t="shared" si="84"/>
        <v>0.87499232331266752</v>
      </c>
      <c r="L296" s="120">
        <f t="shared" si="84"/>
        <v>1.1746548489489435</v>
      </c>
      <c r="M296" s="120">
        <f t="shared" si="84"/>
        <v>1.1781335950691565</v>
      </c>
      <c r="N296" s="120">
        <f t="shared" si="84"/>
        <v>0.93832113120611804</v>
      </c>
      <c r="O296" s="120">
        <f t="shared" si="84"/>
        <v>1.1389947547675456</v>
      </c>
      <c r="P296" s="120">
        <f t="shared" si="84"/>
        <v>0.84695093686590539</v>
      </c>
      <c r="Q296" s="120">
        <f t="shared" si="84"/>
        <v>0.81888941695804485</v>
      </c>
      <c r="R296" s="120">
        <f t="shared" si="84"/>
        <v>0.80102118724506344</v>
      </c>
      <c r="S296" s="120">
        <f t="shared" si="84"/>
        <v>1.0293700425544381</v>
      </c>
      <c r="T296" s="120">
        <f t="shared" si="84"/>
        <v>0.64831855135419847</v>
      </c>
      <c r="U296" s="120">
        <f t="shared" si="84"/>
        <v>0.62930212781198602</v>
      </c>
      <c r="V296" s="120">
        <f t="shared" si="84"/>
        <v>0.63046538752449066</v>
      </c>
      <c r="W296" s="120">
        <f t="shared" si="84"/>
        <v>0.62038904831796382</v>
      </c>
      <c r="X296" s="120">
        <f t="shared" si="84"/>
        <v>0.63282197735796442</v>
      </c>
      <c r="Y296" s="61"/>
    </row>
    <row r="297" spans="2:25" ht="17">
      <c r="B297" s="78">
        <v>24</v>
      </c>
      <c r="C297" s="63" t="str">
        <f>C143</f>
        <v>Modernland Realty Ltd Tbk</v>
      </c>
      <c r="D297" s="68" t="s">
        <v>157</v>
      </c>
      <c r="E297" s="120">
        <f>E148/E147</f>
        <v>0.54568243824651352</v>
      </c>
      <c r="F297" s="120">
        <f t="shared" ref="F297:X297" si="85">F148/F147</f>
        <v>0.54928309352291171</v>
      </c>
      <c r="G297" s="120">
        <f t="shared" si="85"/>
        <v>0.55078629727449946</v>
      </c>
      <c r="H297" s="120">
        <f t="shared" si="85"/>
        <v>0.55037390115888696</v>
      </c>
      <c r="I297" s="120">
        <f t="shared" si="85"/>
        <v>0.58508195249393535</v>
      </c>
      <c r="J297" s="120">
        <f t="shared" si="85"/>
        <v>0.57354157975013143</v>
      </c>
      <c r="K297" s="120">
        <f t="shared" si="85"/>
        <v>0.62313372296514635</v>
      </c>
      <c r="L297" s="120">
        <f t="shared" si="85"/>
        <v>0.7158116465288622</v>
      </c>
      <c r="M297" s="120">
        <f t="shared" si="85"/>
        <v>0.73669024260205729</v>
      </c>
      <c r="N297" s="120">
        <f t="shared" si="85"/>
        <v>0.7459246552955443</v>
      </c>
      <c r="O297" s="120">
        <f t="shared" si="85"/>
        <v>0.74763792687359465</v>
      </c>
      <c r="P297" s="120">
        <f t="shared" si="85"/>
        <v>0.7122262441511199</v>
      </c>
      <c r="Q297" s="120">
        <f t="shared" si="85"/>
        <v>0.70719869412827174</v>
      </c>
      <c r="R297" s="120">
        <f t="shared" si="85"/>
        <v>0.66881818238739021</v>
      </c>
      <c r="S297" s="120">
        <f t="shared" si="85"/>
        <v>0.67606591171056829</v>
      </c>
      <c r="T297" s="120">
        <f t="shared" si="85"/>
        <v>0.68764934551212564</v>
      </c>
      <c r="U297" s="120">
        <f t="shared" si="85"/>
        <v>0.67608732136344141</v>
      </c>
      <c r="V297" s="120">
        <f t="shared" si="85"/>
        <v>0.68444427539860486</v>
      </c>
      <c r="W297" s="120">
        <f t="shared" si="85"/>
        <v>0.69361293463791607</v>
      </c>
      <c r="X297" s="120">
        <f t="shared" si="85"/>
        <v>0.69925887153798139</v>
      </c>
      <c r="Y297" s="61"/>
    </row>
    <row r="298" spans="2:25" ht="17">
      <c r="B298" s="78">
        <v>25</v>
      </c>
      <c r="C298" s="63" t="str">
        <f>C149</f>
        <v>FKS Food Sejahtera Tbk PT</v>
      </c>
      <c r="D298" s="68" t="s">
        <v>159</v>
      </c>
      <c r="E298" s="120">
        <f>E154/E153</f>
        <v>2.9992986878289893</v>
      </c>
      <c r="F298" s="120">
        <f t="shared" ref="F298:X298" si="86">F154/F153</f>
        <v>2.9992986878289893</v>
      </c>
      <c r="G298" s="120">
        <f t="shared" si="86"/>
        <v>3.0332117091203483</v>
      </c>
      <c r="H298" s="120">
        <f t="shared" si="86"/>
        <v>1.8870428889557114</v>
      </c>
      <c r="I298" s="120">
        <f t="shared" si="86"/>
        <v>1.6111224753182505</v>
      </c>
      <c r="J298" s="120">
        <f t="shared" si="86"/>
        <v>1.663099958977164</v>
      </c>
      <c r="K298" s="120">
        <f t="shared" si="86"/>
        <v>1.6507233723533405</v>
      </c>
      <c r="L298" s="120">
        <f t="shared" si="86"/>
        <v>0.58762888647947831</v>
      </c>
      <c r="M298" s="120">
        <f t="shared" si="86"/>
        <v>0.57468843241874845</v>
      </c>
      <c r="N298" s="120">
        <f t="shared" si="86"/>
        <v>0.56701979039400363</v>
      </c>
      <c r="O298" s="120">
        <f t="shared" si="86"/>
        <v>0.56717818884585669</v>
      </c>
      <c r="P298" s="120">
        <f t="shared" si="86"/>
        <v>0.53515315894220938</v>
      </c>
      <c r="Q298" s="120">
        <f t="shared" si="86"/>
        <v>0.5504817424592171</v>
      </c>
      <c r="R298" s="120">
        <f t="shared" si="86"/>
        <v>0.55346152522292758</v>
      </c>
      <c r="S298" s="120">
        <f t="shared" si="86"/>
        <v>0.55130472618729576</v>
      </c>
      <c r="T298" s="120">
        <f t="shared" si="86"/>
        <v>0.57341528184630552</v>
      </c>
      <c r="U298" s="120">
        <f t="shared" si="86"/>
        <v>0.5619592641966914</v>
      </c>
      <c r="V298" s="120">
        <f t="shared" si="86"/>
        <v>0.55354212422486371</v>
      </c>
      <c r="W298" s="120">
        <f t="shared" si="86"/>
        <v>0.54330862025634585</v>
      </c>
      <c r="X298" s="120">
        <f t="shared" si="86"/>
        <v>0.47665086129543505</v>
      </c>
      <c r="Y298" s="61"/>
    </row>
    <row r="299" spans="2:25" ht="17">
      <c r="B299" s="78">
        <v>26</v>
      </c>
      <c r="C299" s="63" t="str">
        <f>C155</f>
        <v>Indosat Tbk</v>
      </c>
      <c r="D299" s="68" t="s">
        <v>161</v>
      </c>
      <c r="E299" s="120">
        <f>E160/E159</f>
        <v>0.78680760273003747</v>
      </c>
      <c r="F299" s="120">
        <f t="shared" ref="F299:X299" si="87">F160/F159</f>
        <v>0.7892112618994751</v>
      </c>
      <c r="G299" s="120">
        <f t="shared" si="87"/>
        <v>0.81342102080330347</v>
      </c>
      <c r="H299" s="120">
        <f t="shared" si="87"/>
        <v>0.78177776893318263</v>
      </c>
      <c r="I299" s="120">
        <f t="shared" si="87"/>
        <v>0.78410530154487157</v>
      </c>
      <c r="J299" s="120">
        <f t="shared" si="87"/>
        <v>0.78084266441386407</v>
      </c>
      <c r="K299" s="120">
        <f t="shared" si="87"/>
        <v>0.78512898884852111</v>
      </c>
      <c r="L299" s="120">
        <f t="shared" si="87"/>
        <v>0.79430303953217285</v>
      </c>
      <c r="M299" s="120">
        <f t="shared" si="87"/>
        <v>0.79096772835344309</v>
      </c>
      <c r="N299" s="120">
        <f t="shared" si="87"/>
        <v>0.7364192590877594</v>
      </c>
      <c r="O299" s="120">
        <f t="shared" si="87"/>
        <v>0.74601386144340787</v>
      </c>
      <c r="P299" s="120">
        <f t="shared" si="87"/>
        <v>0.85519135655755363</v>
      </c>
      <c r="Q299" s="120">
        <f t="shared" si="87"/>
        <v>0.74489160274124666</v>
      </c>
      <c r="R299" s="120">
        <f t="shared" si="87"/>
        <v>0.71008528269652316</v>
      </c>
      <c r="S299" s="120">
        <f t="shared" si="87"/>
        <v>0.73473918835981289</v>
      </c>
      <c r="T299" s="120">
        <f t="shared" si="87"/>
        <v>0.75062768050205919</v>
      </c>
      <c r="U299" s="120">
        <f t="shared" si="87"/>
        <v>0.74542056652914157</v>
      </c>
      <c r="V299" s="120">
        <f t="shared" si="87"/>
        <v>0.74375234813922542</v>
      </c>
      <c r="W299" s="120">
        <f t="shared" si="87"/>
        <v>0.74117831636761788</v>
      </c>
      <c r="X299" s="120">
        <f t="shared" si="87"/>
        <v>0.70617040466143577</v>
      </c>
      <c r="Y299" s="61"/>
    </row>
    <row r="300" spans="2:25" ht="17">
      <c r="B300" s="78">
        <v>27</v>
      </c>
      <c r="C300" s="63" t="str">
        <f>C161</f>
        <v>Krakatau Steel Persero Tbk</v>
      </c>
      <c r="D300" s="68" t="s">
        <v>163</v>
      </c>
      <c r="E300" s="120">
        <f>E166/E165</f>
        <v>0.58118198793109299</v>
      </c>
      <c r="F300" s="120">
        <f t="shared" ref="F300:X300" si="88">F166/F165</f>
        <v>0.57697240511706183</v>
      </c>
      <c r="G300" s="120">
        <f t="shared" si="88"/>
        <v>0.60223951836985279</v>
      </c>
      <c r="H300" s="120">
        <f t="shared" si="88"/>
        <v>0.62152743843698777</v>
      </c>
      <c r="I300" s="120">
        <f t="shared" si="88"/>
        <v>0.89168299245175209</v>
      </c>
      <c r="J300" s="120">
        <f t="shared" si="88"/>
        <v>0.93197235256790767</v>
      </c>
      <c r="K300" s="120">
        <f t="shared" si="88"/>
        <v>0.85820976566389617</v>
      </c>
      <c r="L300" s="120">
        <f t="shared" si="88"/>
        <v>0.87182225363344024</v>
      </c>
      <c r="M300" s="120">
        <f t="shared" si="88"/>
        <v>0.87129142836818685</v>
      </c>
      <c r="N300" s="120">
        <f t="shared" si="88"/>
        <v>0.85282360361095699</v>
      </c>
      <c r="O300" s="120">
        <f t="shared" si="88"/>
        <v>0.88609770708260915</v>
      </c>
      <c r="P300" s="120">
        <f t="shared" si="88"/>
        <v>0.8757406235330798</v>
      </c>
      <c r="Q300" s="120">
        <f t="shared" si="88"/>
        <v>0.84980639567360849</v>
      </c>
      <c r="R300" s="120">
        <f t="shared" si="88"/>
        <v>0.85784570134313554</v>
      </c>
      <c r="S300" s="120">
        <f t="shared" si="88"/>
        <v>0.84909421127534845</v>
      </c>
      <c r="T300" s="120">
        <f t="shared" si="88"/>
        <v>0.83884858100829462</v>
      </c>
      <c r="U300" s="120">
        <f t="shared" si="88"/>
        <v>0.81205457568442541</v>
      </c>
      <c r="V300" s="120">
        <f t="shared" si="88"/>
        <v>0.80805933002740749</v>
      </c>
      <c r="W300" s="120">
        <f t="shared" si="88"/>
        <v>0.80576099765603515</v>
      </c>
      <c r="X300" s="120">
        <f t="shared" si="88"/>
        <v>0.81328286760992818</v>
      </c>
      <c r="Y300" s="61"/>
    </row>
    <row r="301" spans="2:25" ht="17">
      <c r="B301" s="78">
        <v>28</v>
      </c>
      <c r="C301" s="63" t="str">
        <f>C167</f>
        <v>Bakrie Sumatera Plantations</v>
      </c>
      <c r="D301" s="68" t="s">
        <v>165</v>
      </c>
      <c r="E301" s="120">
        <f>E172/E171</f>
        <v>1.1052050365624837</v>
      </c>
      <c r="F301" s="120">
        <f t="shared" ref="F301:X301" si="89">F172/F171</f>
        <v>1.1125598218405344</v>
      </c>
      <c r="G301" s="120">
        <f t="shared" si="89"/>
        <v>1.1224716928577541</v>
      </c>
      <c r="H301" s="120">
        <f t="shared" si="89"/>
        <v>1.6483929140740645</v>
      </c>
      <c r="I301" s="120">
        <f t="shared" si="89"/>
        <v>1.8604526947307687</v>
      </c>
      <c r="J301" s="120">
        <f t="shared" si="89"/>
        <v>1.7026874779097021</v>
      </c>
      <c r="K301" s="120">
        <f t="shared" si="89"/>
        <v>1.7571662622192743</v>
      </c>
      <c r="L301" s="120">
        <f t="shared" si="89"/>
        <v>1.9253399840814984</v>
      </c>
      <c r="M301" s="120">
        <f t="shared" si="89"/>
        <v>1.7890613288480133</v>
      </c>
      <c r="N301" s="120">
        <f t="shared" si="89"/>
        <v>1.766481726472076</v>
      </c>
      <c r="O301" s="120">
        <f t="shared" si="89"/>
        <v>1.7338350724697769</v>
      </c>
      <c r="P301" s="120">
        <f t="shared" si="89"/>
        <v>1.834645503391251</v>
      </c>
      <c r="Q301" s="120">
        <f t="shared" si="89"/>
        <v>1.8336603609794213</v>
      </c>
      <c r="R301" s="120">
        <f t="shared" si="89"/>
        <v>1.9389467387022752</v>
      </c>
      <c r="S301" s="120">
        <f t="shared" si="89"/>
        <v>1.7766060394923382</v>
      </c>
      <c r="T301" s="120">
        <f t="shared" si="89"/>
        <v>2.206711139479268</v>
      </c>
      <c r="U301" s="120">
        <f t="shared" si="89"/>
        <v>2.1384778876454273</v>
      </c>
      <c r="V301" s="120">
        <f t="shared" si="89"/>
        <v>2.1441070349921754</v>
      </c>
      <c r="W301" s="120">
        <f t="shared" si="89"/>
        <v>2.228843054760322</v>
      </c>
      <c r="X301" s="120">
        <f t="shared" si="89"/>
        <v>2.3011464507179711</v>
      </c>
      <c r="Y301" s="61"/>
    </row>
    <row r="302" spans="2:25" ht="17">
      <c r="B302" s="78">
        <v>29</v>
      </c>
      <c r="C302" s="63" t="str">
        <f>C230</f>
        <v>Multipolar Tbk</v>
      </c>
      <c r="D302" s="68" t="s">
        <v>167</v>
      </c>
      <c r="E302" s="120">
        <f>E178/E177</f>
        <v>0.64773118517843631</v>
      </c>
      <c r="F302" s="120">
        <f t="shared" ref="F302:X302" si="90">F178/F177</f>
        <v>0.64459075246930375</v>
      </c>
      <c r="G302" s="120">
        <f t="shared" si="90"/>
        <v>0.66266135887520272</v>
      </c>
      <c r="H302" s="120">
        <f t="shared" si="90"/>
        <v>0.64693363621355982</v>
      </c>
      <c r="I302" s="120">
        <f t="shared" si="90"/>
        <v>0.69322027030053868</v>
      </c>
      <c r="J302" s="120">
        <f t="shared" si="90"/>
        <v>0.70915491122246765</v>
      </c>
      <c r="K302" s="120">
        <f t="shared" si="90"/>
        <v>0.71795403120062717</v>
      </c>
      <c r="L302" s="120">
        <f t="shared" si="90"/>
        <v>0.78525061779423388</v>
      </c>
      <c r="M302" s="120">
        <f t="shared" si="90"/>
        <v>0.80853544146096612</v>
      </c>
      <c r="N302" s="120">
        <f t="shared" si="90"/>
        <v>0.74413286266863499</v>
      </c>
      <c r="O302" s="120">
        <f t="shared" si="90"/>
        <v>0.73384522330126833</v>
      </c>
      <c r="P302" s="120">
        <f t="shared" si="90"/>
        <v>0.73745610302511699</v>
      </c>
      <c r="Q302" s="120">
        <f t="shared" si="90"/>
        <v>0.68690139391964389</v>
      </c>
      <c r="R302" s="120">
        <f t="shared" si="90"/>
        <v>0.66002455481627209</v>
      </c>
      <c r="S302" s="120">
        <f t="shared" si="90"/>
        <v>0.67695843647901832</v>
      </c>
      <c r="T302" s="120">
        <f t="shared" si="90"/>
        <v>0.66926226898682006</v>
      </c>
      <c r="U302" s="120">
        <f t="shared" si="90"/>
        <v>0.69268067427679925</v>
      </c>
      <c r="V302" s="120">
        <f t="shared" si="90"/>
        <v>0.68051320666151638</v>
      </c>
      <c r="W302" s="120">
        <f t="shared" si="90"/>
        <v>0.66696988782768241</v>
      </c>
      <c r="X302" s="120">
        <f t="shared" si="90"/>
        <v>0.64099831181651279</v>
      </c>
      <c r="Y302" s="61"/>
    </row>
    <row r="303" spans="2:25" ht="17">
      <c r="B303" s="78">
        <v>30</v>
      </c>
      <c r="C303" s="63" t="str">
        <f>C179</f>
        <v>Visi Media Asia Tbk</v>
      </c>
      <c r="D303" s="68" t="s">
        <v>169</v>
      </c>
      <c r="E303" s="120">
        <f>E184/E183</f>
        <v>0.78909498514446297</v>
      </c>
      <c r="F303" s="120">
        <f t="shared" ref="F303:X303" si="91">F184/F183</f>
        <v>0.80698139027716564</v>
      </c>
      <c r="G303" s="120">
        <f t="shared" si="91"/>
        <v>0.89020105876350519</v>
      </c>
      <c r="H303" s="120">
        <f t="shared" si="91"/>
        <v>0.84409045898303015</v>
      </c>
      <c r="I303" s="120">
        <f t="shared" si="91"/>
        <v>0.86600912114397022</v>
      </c>
      <c r="J303" s="120">
        <f t="shared" si="91"/>
        <v>0.98639084330957527</v>
      </c>
      <c r="K303" s="120">
        <f t="shared" si="91"/>
        <v>0.94843596391990281</v>
      </c>
      <c r="L303" s="120">
        <f t="shared" si="91"/>
        <v>1.0588538236409195</v>
      </c>
      <c r="M303" s="120">
        <f t="shared" si="91"/>
        <v>1.0413122242363257</v>
      </c>
      <c r="N303" s="120">
        <f t="shared" si="91"/>
        <v>0.99387786361888086</v>
      </c>
      <c r="O303" s="120">
        <f t="shared" si="91"/>
        <v>1.053944030679991</v>
      </c>
      <c r="P303" s="120">
        <f t="shared" si="91"/>
        <v>0.98855736221107693</v>
      </c>
      <c r="Q303" s="120">
        <f t="shared" si="91"/>
        <v>1.1392936483017513</v>
      </c>
      <c r="R303" s="120">
        <f t="shared" si="91"/>
        <v>1.1689654330096539</v>
      </c>
      <c r="S303" s="120">
        <f t="shared" si="91"/>
        <v>1.2238784964761666</v>
      </c>
      <c r="T303" s="120">
        <f t="shared" si="91"/>
        <v>1.1726148167042107</v>
      </c>
      <c r="U303" s="120">
        <f t="shared" si="91"/>
        <v>1.2469852729820095</v>
      </c>
      <c r="V303" s="120">
        <f t="shared" si="91"/>
        <v>1.195340488866613</v>
      </c>
      <c r="W303" s="120">
        <f t="shared" si="91"/>
        <v>1.2259345606100258</v>
      </c>
      <c r="X303" s="120">
        <f t="shared" si="91"/>
        <v>1.2721453743218065</v>
      </c>
      <c r="Y303" s="61"/>
    </row>
    <row r="304" spans="2:25">
      <c r="C304" s="51"/>
      <c r="D304" s="132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61"/>
    </row>
    <row r="308" spans="2:8">
      <c r="B308" s="76">
        <v>1</v>
      </c>
      <c r="C308" s="45" t="s">
        <v>81</v>
      </c>
      <c r="D308" s="46" t="s">
        <v>62</v>
      </c>
    </row>
    <row r="309" spans="2:8">
      <c r="C309" s="45" t="s">
        <v>82</v>
      </c>
      <c r="D309" s="134" t="s">
        <v>61</v>
      </c>
      <c r="E309" s="123" t="s">
        <v>63</v>
      </c>
      <c r="G309" s="124" t="s">
        <v>77</v>
      </c>
      <c r="H309" s="114">
        <v>45383</v>
      </c>
    </row>
    <row r="310" spans="2:8">
      <c r="B310" s="76">
        <v>2</v>
      </c>
      <c r="C310" s="45" t="s">
        <v>83</v>
      </c>
      <c r="D310" s="135" t="s">
        <v>64</v>
      </c>
      <c r="E310" s="123" t="s">
        <v>65</v>
      </c>
      <c r="G310" s="115" t="s">
        <v>79</v>
      </c>
    </row>
    <row r="311" spans="2:8">
      <c r="D311" s="134" t="s">
        <v>66</v>
      </c>
      <c r="E311" s="123">
        <v>45017</v>
      </c>
      <c r="G311" s="115" t="s">
        <v>80</v>
      </c>
    </row>
    <row r="312" spans="2:8">
      <c r="D312" s="135" t="s">
        <v>67</v>
      </c>
      <c r="E312" s="123" t="s">
        <v>68</v>
      </c>
    </row>
    <row r="313" spans="2:8">
      <c r="D313" s="134" t="s">
        <v>69</v>
      </c>
      <c r="E313" s="123" t="s">
        <v>70</v>
      </c>
    </row>
    <row r="314" spans="2:8">
      <c r="D314" s="135" t="s">
        <v>71</v>
      </c>
      <c r="E314" s="123" t="s">
        <v>72</v>
      </c>
    </row>
    <row r="315" spans="2:8">
      <c r="D315" s="134" t="s">
        <v>75</v>
      </c>
      <c r="E315" s="115" t="s">
        <v>76</v>
      </c>
    </row>
    <row r="317" spans="2:8">
      <c r="D317" s="136"/>
    </row>
    <row r="318" spans="2:8">
      <c r="D318" s="134"/>
    </row>
    <row r="319" spans="2:8">
      <c r="D319" s="134"/>
    </row>
    <row r="320" spans="2:8">
      <c r="C320" s="45" t="s">
        <v>87</v>
      </c>
      <c r="D320" s="136" t="s">
        <v>86</v>
      </c>
    </row>
    <row r="322" spans="3:6">
      <c r="D322" s="136" t="s">
        <v>78</v>
      </c>
    </row>
    <row r="323" spans="3:6">
      <c r="D323" s="136" t="s">
        <v>73</v>
      </c>
    </row>
    <row r="325" spans="3:6">
      <c r="D325" s="136" t="s">
        <v>74</v>
      </c>
    </row>
    <row r="327" spans="3:6">
      <c r="D327" s="136" t="s">
        <v>84</v>
      </c>
      <c r="F327" s="115" t="s">
        <v>85</v>
      </c>
    </row>
    <row r="328" spans="3:6">
      <c r="D328" s="137" t="s">
        <v>170</v>
      </c>
    </row>
    <row r="332" spans="3:6">
      <c r="C332" s="45" t="s">
        <v>88</v>
      </c>
      <c r="D332" s="46" t="s">
        <v>89</v>
      </c>
    </row>
    <row r="333" spans="3:6">
      <c r="D333" s="46" t="s">
        <v>90</v>
      </c>
    </row>
  </sheetData>
  <mergeCells count="30">
    <mergeCell ref="E200:H200"/>
    <mergeCell ref="I200:L200"/>
    <mergeCell ref="M200:P200"/>
    <mergeCell ref="Q200:T200"/>
    <mergeCell ref="U200:X200"/>
    <mergeCell ref="D2:G2"/>
    <mergeCell ref="H2:K2"/>
    <mergeCell ref="L2:O2"/>
    <mergeCell ref="P2:S2"/>
    <mergeCell ref="T2:W2"/>
    <mergeCell ref="E236:H236"/>
    <mergeCell ref="I236:L236"/>
    <mergeCell ref="M236:P236"/>
    <mergeCell ref="Q236:T236"/>
    <mergeCell ref="U236:X236"/>
    <mergeCell ref="E199:H199"/>
    <mergeCell ref="I199:L199"/>
    <mergeCell ref="M199:P199"/>
    <mergeCell ref="Q199:T199"/>
    <mergeCell ref="U199:X199"/>
    <mergeCell ref="E271:H271"/>
    <mergeCell ref="I271:L271"/>
    <mergeCell ref="M271:P271"/>
    <mergeCell ref="Q271:T271"/>
    <mergeCell ref="U271:X271"/>
    <mergeCell ref="E235:H235"/>
    <mergeCell ref="I235:L235"/>
    <mergeCell ref="M235:P235"/>
    <mergeCell ref="Q235:T235"/>
    <mergeCell ref="U235:X235"/>
  </mergeCells>
  <hyperlinks>
    <hyperlink ref="D325" r:id="rId1" xr:uid="{FFDE2DCE-8769-4D4F-81F7-7A50059D10E9}"/>
    <hyperlink ref="D323" r:id="rId2" xr:uid="{CB33EB13-1B3A-A84E-A8C9-E25A5F96781D}"/>
    <hyperlink ref="D322" r:id="rId3" xr:uid="{7A383F7E-1963-8246-94DF-6A7CD9E617B7}"/>
    <hyperlink ref="D327" r:id="rId4" xr:uid="{2A46A0EC-AB62-E342-9F99-D8FD08B07F46}"/>
    <hyperlink ref="D320" r:id="rId5" xr:uid="{81D3AC5A-1CA3-6242-99AE-52A50F05E399}"/>
    <hyperlink ref="D328" r:id="rId6" xr:uid="{6D75BC1E-6C9A-A447-8CF7-AABAA31225E2}"/>
  </hyperlink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55AD-2E5B-C040-97C5-2AE5F6262BF4}">
  <dimension ref="A2:AP254"/>
  <sheetViews>
    <sheetView showGridLines="0" zoomScale="50" zoomScaleNormal="50" workbookViewId="0">
      <selection activeCell="AA56" sqref="AA56"/>
    </sheetView>
  </sheetViews>
  <sheetFormatPr baseColWidth="10" defaultRowHeight="16"/>
  <cols>
    <col min="2" max="2" width="5" customWidth="1"/>
    <col min="3" max="3" width="34.6640625" bestFit="1" customWidth="1"/>
    <col min="4" max="4" width="12.1640625" hidden="1" customWidth="1"/>
    <col min="5" max="7" width="22.5" customWidth="1"/>
    <col min="8" max="8" width="22.5" style="24" customWidth="1"/>
    <col min="9" max="11" width="22.5" customWidth="1"/>
    <col min="12" max="12" width="22.5" style="24" customWidth="1"/>
    <col min="13" max="15" width="22.5" customWidth="1"/>
    <col min="16" max="16" width="22.5" style="24" customWidth="1"/>
    <col min="17" max="19" width="22.5" customWidth="1"/>
    <col min="20" max="20" width="22.5" style="24" customWidth="1"/>
    <col min="21" max="24" width="22.5" customWidth="1"/>
  </cols>
  <sheetData>
    <row r="2" spans="2:24" s="28" customFormat="1">
      <c r="B2" s="142" t="s">
        <v>0</v>
      </c>
      <c r="C2" s="142" t="s">
        <v>1</v>
      </c>
      <c r="D2" s="142"/>
      <c r="E2" s="174">
        <v>2019</v>
      </c>
      <c r="F2" s="174"/>
      <c r="G2" s="174"/>
      <c r="H2" s="174"/>
      <c r="I2" s="174">
        <v>2020</v>
      </c>
      <c r="J2" s="174"/>
      <c r="K2" s="174"/>
      <c r="L2" s="174"/>
      <c r="M2" s="174">
        <v>2021</v>
      </c>
      <c r="N2" s="174"/>
      <c r="O2" s="174"/>
      <c r="P2" s="174"/>
      <c r="Q2" s="174">
        <v>2022</v>
      </c>
      <c r="R2" s="174"/>
      <c r="S2" s="174"/>
      <c r="T2" s="174"/>
      <c r="U2" s="174">
        <v>2023</v>
      </c>
      <c r="V2" s="174"/>
      <c r="W2" s="174"/>
      <c r="X2" s="174"/>
    </row>
    <row r="3" spans="2:24">
      <c r="B3" s="112"/>
      <c r="C3" s="143"/>
      <c r="D3" s="143"/>
      <c r="E3" s="130" t="s">
        <v>5</v>
      </c>
      <c r="F3" s="130" t="s">
        <v>6</v>
      </c>
      <c r="G3" s="130" t="s">
        <v>7</v>
      </c>
      <c r="H3" s="130" t="s">
        <v>8</v>
      </c>
      <c r="I3" s="130" t="s">
        <v>5</v>
      </c>
      <c r="J3" s="130" t="s">
        <v>6</v>
      </c>
      <c r="K3" s="130" t="s">
        <v>7</v>
      </c>
      <c r="L3" s="130" t="s">
        <v>8</v>
      </c>
      <c r="M3" s="130" t="s">
        <v>5</v>
      </c>
      <c r="N3" s="130" t="s">
        <v>6</v>
      </c>
      <c r="O3" s="130" t="s">
        <v>7</v>
      </c>
      <c r="P3" s="130" t="s">
        <v>8</v>
      </c>
      <c r="Q3" s="130" t="s">
        <v>5</v>
      </c>
      <c r="R3" s="130" t="s">
        <v>6</v>
      </c>
      <c r="S3" s="130" t="s">
        <v>7</v>
      </c>
      <c r="T3" s="130" t="s">
        <v>8</v>
      </c>
      <c r="U3" s="130" t="s">
        <v>5</v>
      </c>
      <c r="V3" s="130" t="s">
        <v>6</v>
      </c>
      <c r="W3" s="130" t="s">
        <v>7</v>
      </c>
      <c r="X3" s="130" t="s">
        <v>8</v>
      </c>
    </row>
    <row r="4" spans="2:24" ht="17">
      <c r="B4" s="99">
        <v>1</v>
      </c>
      <c r="C4" s="144" t="s">
        <v>9</v>
      </c>
      <c r="D4" s="144"/>
      <c r="E4" s="99"/>
      <c r="F4" s="145"/>
      <c r="G4" s="145"/>
      <c r="H4" s="145"/>
      <c r="I4" s="99"/>
      <c r="J4" s="145"/>
      <c r="K4" s="145"/>
      <c r="L4" s="145"/>
      <c r="M4" s="99"/>
      <c r="N4" s="145"/>
      <c r="O4" s="145"/>
      <c r="P4" s="145"/>
      <c r="Q4" s="99"/>
      <c r="R4" s="145"/>
      <c r="S4" s="145"/>
      <c r="T4" s="145"/>
      <c r="U4" s="99"/>
      <c r="V4" s="145"/>
      <c r="W4" s="145"/>
      <c r="X4" s="145"/>
    </row>
    <row r="5" spans="2:24">
      <c r="B5" s="99"/>
      <c r="C5" s="99" t="s">
        <v>58</v>
      </c>
      <c r="D5" s="99"/>
      <c r="E5" s="146">
        <v>7394033</v>
      </c>
      <c r="F5" s="146">
        <v>7576245</v>
      </c>
      <c r="G5" s="146">
        <v>6824861</v>
      </c>
      <c r="H5" s="146">
        <f>5220693</f>
        <v>5220693</v>
      </c>
      <c r="I5" s="147">
        <f>5905036</f>
        <v>5905036</v>
      </c>
      <c r="J5" s="147">
        <f>7705537</f>
        <v>7705537</v>
      </c>
      <c r="K5" s="147">
        <f>7609533</f>
        <v>7609533</v>
      </c>
      <c r="L5" s="147">
        <f>6391894</f>
        <v>6391894</v>
      </c>
      <c r="M5" s="147">
        <v>6603452</v>
      </c>
      <c r="N5" s="147">
        <v>7213939</v>
      </c>
      <c r="O5" s="147">
        <v>8450462</v>
      </c>
      <c r="P5" s="147">
        <v>14198826</v>
      </c>
      <c r="Q5" s="147">
        <v>14648357</v>
      </c>
      <c r="R5" s="147">
        <v>10810184</v>
      </c>
      <c r="S5" s="147">
        <v>10061654</v>
      </c>
      <c r="T5" s="147">
        <v>12622267</v>
      </c>
      <c r="U5" s="147">
        <v>15781335</v>
      </c>
      <c r="V5" s="147">
        <v>18169783</v>
      </c>
      <c r="W5" s="147">
        <v>18647063</v>
      </c>
      <c r="X5" s="147">
        <v>19884724</v>
      </c>
    </row>
    <row r="6" spans="2:24">
      <c r="B6" s="99"/>
      <c r="C6" s="99" t="s">
        <v>59</v>
      </c>
      <c r="D6" s="99"/>
      <c r="E6" s="146">
        <v>12157359</v>
      </c>
      <c r="F6" s="146">
        <v>12551541</v>
      </c>
      <c r="G6" s="146">
        <v>12458636</v>
      </c>
      <c r="H6" s="146">
        <f>9568042</f>
        <v>9568042</v>
      </c>
      <c r="I6" s="147">
        <f>9454574</f>
        <v>9454574</v>
      </c>
      <c r="J6" s="147">
        <f>10377524</f>
        <v>10377524</v>
      </c>
      <c r="K6" s="147">
        <f>9577578</f>
        <v>9577578</v>
      </c>
      <c r="L6" s="147">
        <f>12633148</f>
        <v>12633148</v>
      </c>
      <c r="M6" s="147">
        <v>11549695</v>
      </c>
      <c r="N6" s="147">
        <v>9534035</v>
      </c>
      <c r="O6" s="147">
        <v>9775780</v>
      </c>
      <c r="P6" s="147">
        <v>10709803</v>
      </c>
      <c r="Q6" s="147">
        <v>9811686</v>
      </c>
      <c r="R6" s="147">
        <v>9612759</v>
      </c>
      <c r="S6" s="147">
        <v>8663837</v>
      </c>
      <c r="T6" s="147">
        <v>10971014</v>
      </c>
      <c r="U6" s="147">
        <v>11568010</v>
      </c>
      <c r="V6" s="147">
        <v>11120412</v>
      </c>
      <c r="W6" s="147">
        <v>8675484</v>
      </c>
      <c r="X6" s="147">
        <v>7900415</v>
      </c>
    </row>
    <row r="7" spans="2:24" ht="17">
      <c r="B7" s="99"/>
      <c r="C7" s="141" t="s">
        <v>57</v>
      </c>
      <c r="D7" s="141"/>
      <c r="E7" s="148">
        <v>5459336</v>
      </c>
      <c r="F7" s="148">
        <v>5114998</v>
      </c>
      <c r="G7" s="148">
        <v>4965936</v>
      </c>
      <c r="H7" s="148">
        <v>4511624</v>
      </c>
      <c r="I7" s="149">
        <v>4239841</v>
      </c>
      <c r="J7" s="149">
        <v>5553012</v>
      </c>
      <c r="K7" s="149">
        <v>4473849</v>
      </c>
      <c r="L7" s="149">
        <v>4098134</v>
      </c>
      <c r="M7" s="149">
        <v>4567921</v>
      </c>
      <c r="N7" s="149">
        <v>4616359</v>
      </c>
      <c r="O7" s="149">
        <v>4304976</v>
      </c>
      <c r="P7" s="149">
        <v>6177421</v>
      </c>
      <c r="Q7" s="149">
        <v>4590800</v>
      </c>
      <c r="R7" s="149">
        <v>3861831</v>
      </c>
      <c r="S7" s="149">
        <v>5922079</v>
      </c>
      <c r="T7" s="149">
        <v>9186002</v>
      </c>
      <c r="U7" s="149">
        <v>8831664</v>
      </c>
      <c r="V7" s="149">
        <v>10158884</v>
      </c>
      <c r="W7" s="149">
        <v>9542034</v>
      </c>
      <c r="X7" s="149">
        <v>10493115</v>
      </c>
    </row>
    <row r="8" spans="2:24">
      <c r="B8" s="99"/>
      <c r="C8" s="99" t="s">
        <v>56</v>
      </c>
      <c r="D8" s="99"/>
      <c r="E8" s="146">
        <v>72016425</v>
      </c>
      <c r="F8" s="146">
        <v>71660572</v>
      </c>
      <c r="G8" s="146">
        <v>70893995</v>
      </c>
      <c r="H8" s="146">
        <f>67412629</f>
        <v>67412629</v>
      </c>
      <c r="I8" s="147">
        <f>67779538</f>
        <v>67779538</v>
      </c>
      <c r="J8" s="147">
        <f>70724605</f>
        <v>70724605</v>
      </c>
      <c r="K8" s="147">
        <f>68196735</f>
        <v>68196735</v>
      </c>
      <c r="L8" s="147">
        <f>66073093</f>
        <v>66073093</v>
      </c>
      <c r="M8" s="147">
        <v>66263941</v>
      </c>
      <c r="N8" s="147">
        <v>66797389</v>
      </c>
      <c r="O8" s="147">
        <v>68469278</v>
      </c>
      <c r="P8" s="147">
        <v>70328736</v>
      </c>
      <c r="Q8" s="147">
        <v>70687485</v>
      </c>
      <c r="R8" s="147">
        <v>70784291</v>
      </c>
      <c r="S8" s="147">
        <v>72881217</v>
      </c>
      <c r="T8" s="147">
        <v>76589160</v>
      </c>
      <c r="U8" s="147">
        <v>81990985</v>
      </c>
      <c r="V8" s="147">
        <v>85161117</v>
      </c>
      <c r="W8" s="147">
        <v>86969697</v>
      </c>
      <c r="X8" s="147">
        <v>73115506</v>
      </c>
    </row>
    <row r="9" spans="2:24">
      <c r="B9" s="99"/>
      <c r="C9" s="99" t="s">
        <v>55</v>
      </c>
      <c r="D9" s="99"/>
      <c r="E9" s="146">
        <v>42450553</v>
      </c>
      <c r="F9" s="146">
        <v>41994907</v>
      </c>
      <c r="G9" s="146">
        <v>41427926</v>
      </c>
      <c r="H9" s="146">
        <f>36760187</f>
        <v>36760187</v>
      </c>
      <c r="I9" s="147">
        <f>36645619</f>
        <v>36645619</v>
      </c>
      <c r="J9" s="147">
        <f>37706792</f>
        <v>37706792</v>
      </c>
      <c r="K9" s="147">
        <f>36629403</f>
        <v>36629403</v>
      </c>
      <c r="L9" s="147">
        <f>38158141</f>
        <v>38158141</v>
      </c>
      <c r="M9" s="147">
        <v>37057634</v>
      </c>
      <c r="N9" s="147">
        <v>35764550</v>
      </c>
      <c r="O9" s="147">
        <v>36046363</v>
      </c>
      <c r="P9" s="147">
        <v>38257687</v>
      </c>
      <c r="Q9" s="147">
        <v>36935181</v>
      </c>
      <c r="R9" s="147">
        <v>36440831</v>
      </c>
      <c r="S9" s="147">
        <v>35195165</v>
      </c>
      <c r="T9" s="147">
        <v>26077107</v>
      </c>
      <c r="U9" s="147">
        <v>38071871</v>
      </c>
      <c r="V9" s="147">
        <v>37468367</v>
      </c>
      <c r="W9" s="147">
        <v>34728301</v>
      </c>
      <c r="X9" s="147">
        <v>35379853</v>
      </c>
    </row>
    <row r="10" spans="2:24" ht="17">
      <c r="B10" s="99">
        <v>2</v>
      </c>
      <c r="C10" s="141" t="s">
        <v>10</v>
      </c>
      <c r="D10" s="141"/>
      <c r="E10" s="99"/>
      <c r="F10" s="145"/>
      <c r="G10" s="145"/>
      <c r="H10" s="145"/>
      <c r="I10" s="99"/>
      <c r="J10" s="145"/>
      <c r="K10" s="145"/>
      <c r="L10" s="145"/>
      <c r="M10" s="99"/>
      <c r="N10" s="145"/>
      <c r="O10" s="145"/>
      <c r="P10" s="145"/>
      <c r="Q10" s="99"/>
      <c r="R10" s="145"/>
      <c r="S10" s="145"/>
      <c r="T10" s="145"/>
      <c r="U10" s="99"/>
      <c r="V10" s="145"/>
      <c r="W10" s="145"/>
      <c r="X10" s="145"/>
    </row>
    <row r="11" spans="2:24">
      <c r="B11" s="99"/>
      <c r="C11" s="99" t="s">
        <v>58</v>
      </c>
      <c r="D11" s="99"/>
      <c r="E11" s="146">
        <v>150288888888</v>
      </c>
      <c r="F11" s="146">
        <v>139241335973</v>
      </c>
      <c r="G11" s="146">
        <v>127211929908</v>
      </c>
      <c r="H11" s="146">
        <v>134012941477</v>
      </c>
      <c r="I11" s="147">
        <v>132603878404</v>
      </c>
      <c r="J11" s="147">
        <v>149232282465</v>
      </c>
      <c r="K11" s="147">
        <v>139196894849</v>
      </c>
      <c r="L11" s="147">
        <v>146335988563</v>
      </c>
      <c r="M11" s="147">
        <v>166543657393</v>
      </c>
      <c r="N11" s="147">
        <v>164733444837</v>
      </c>
      <c r="O11" s="147">
        <v>168032963954</v>
      </c>
      <c r="P11" s="147">
        <v>99707098594</v>
      </c>
      <c r="Q11" s="147">
        <v>110195584449</v>
      </c>
      <c r="R11" s="147">
        <v>133460190405</v>
      </c>
      <c r="S11" s="147">
        <v>121859421872</v>
      </c>
      <c r="T11" s="147">
        <v>145600441681</v>
      </c>
      <c r="U11" s="147">
        <v>158714167819</v>
      </c>
      <c r="V11" s="147">
        <v>126914012579</v>
      </c>
      <c r="W11" s="147">
        <v>158168662831</v>
      </c>
      <c r="X11" s="147">
        <v>161475800127</v>
      </c>
    </row>
    <row r="12" spans="2:24">
      <c r="B12" s="99"/>
      <c r="C12" s="99" t="s">
        <v>59</v>
      </c>
      <c r="D12" s="99"/>
      <c r="E12" s="146">
        <v>26622961894</v>
      </c>
      <c r="F12" s="146">
        <v>37268204211</v>
      </c>
      <c r="G12" s="146">
        <v>25503714450</v>
      </c>
      <c r="H12" s="146">
        <v>23179545509</v>
      </c>
      <c r="I12" s="147">
        <v>22163453889</v>
      </c>
      <c r="J12" s="147">
        <v>29713775443</v>
      </c>
      <c r="K12" s="147">
        <v>17444601027</v>
      </c>
      <c r="L12" s="147">
        <v>21765155172</v>
      </c>
      <c r="M12" s="147">
        <v>22274741440</v>
      </c>
      <c r="N12" s="147">
        <v>20746686443</v>
      </c>
      <c r="O12" s="147">
        <v>23135527914</v>
      </c>
      <c r="P12" s="147">
        <v>25913588162</v>
      </c>
      <c r="Q12" s="147">
        <v>33880101087</v>
      </c>
      <c r="R12" s="147">
        <v>57969468788</v>
      </c>
      <c r="S12" s="147">
        <v>67067109748</v>
      </c>
      <c r="T12" s="147">
        <v>35759386027</v>
      </c>
      <c r="U12" s="147">
        <v>57771097984</v>
      </c>
      <c r="V12" s="147">
        <v>50197944740</v>
      </c>
      <c r="W12" s="147">
        <v>50064484352</v>
      </c>
      <c r="X12" s="147">
        <v>60577541290</v>
      </c>
    </row>
    <row r="13" spans="2:24" ht="17">
      <c r="B13" s="99"/>
      <c r="C13" s="141" t="s">
        <v>57</v>
      </c>
      <c r="D13" s="141"/>
      <c r="E13" s="150">
        <v>62081935815</v>
      </c>
      <c r="F13" s="150">
        <v>59693868156</v>
      </c>
      <c r="G13" s="150">
        <v>61106904161</v>
      </c>
      <c r="H13" s="150">
        <v>67288118419</v>
      </c>
      <c r="I13" s="151">
        <v>60705218872</v>
      </c>
      <c r="J13" s="151">
        <v>55586227466</v>
      </c>
      <c r="K13" s="151">
        <v>50636469248</v>
      </c>
      <c r="L13" s="151">
        <v>63734202190</v>
      </c>
      <c r="M13" s="151">
        <v>36153031795</v>
      </c>
      <c r="N13" s="151">
        <v>50627853670</v>
      </c>
      <c r="O13" s="151">
        <v>56890939338</v>
      </c>
      <c r="P13" s="151">
        <v>55640897785</v>
      </c>
      <c r="Q13" s="151">
        <v>55181723774</v>
      </c>
      <c r="R13" s="151">
        <v>59532416370</v>
      </c>
      <c r="S13" s="151">
        <v>89740968331</v>
      </c>
      <c r="T13" s="151">
        <v>105148154082</v>
      </c>
      <c r="U13" s="151">
        <v>119132252455</v>
      </c>
      <c r="V13" s="151">
        <v>145431405374</v>
      </c>
      <c r="W13" s="151">
        <v>122912400657</v>
      </c>
      <c r="X13" s="151">
        <v>134875020461</v>
      </c>
    </row>
    <row r="14" spans="2:24">
      <c r="B14" s="99"/>
      <c r="C14" s="99" t="s">
        <v>56</v>
      </c>
      <c r="D14" s="99"/>
      <c r="E14" s="146">
        <v>498143591117</v>
      </c>
      <c r="F14" s="146">
        <v>511928847645</v>
      </c>
      <c r="G14" s="146">
        <v>511688557850</v>
      </c>
      <c r="H14" s="146">
        <v>527467886738</v>
      </c>
      <c r="I14" s="147">
        <v>549795872938</v>
      </c>
      <c r="J14" s="147">
        <v>556314925095</v>
      </c>
      <c r="K14" s="147">
        <v>552276812982</v>
      </c>
      <c r="L14" s="147">
        <v>568048326214</v>
      </c>
      <c r="M14" s="147">
        <v>569527040442</v>
      </c>
      <c r="N14" s="147">
        <v>555902188679</v>
      </c>
      <c r="O14" s="147">
        <v>561837173307</v>
      </c>
      <c r="P14" s="147">
        <v>552781459611</v>
      </c>
      <c r="Q14" s="147">
        <v>575994657437</v>
      </c>
      <c r="R14" s="147">
        <v>594788535235</v>
      </c>
      <c r="S14" s="147">
        <v>660109635668</v>
      </c>
      <c r="T14" s="147">
        <v>653425820330</v>
      </c>
      <c r="U14" s="147">
        <v>739903246826</v>
      </c>
      <c r="V14" s="147">
        <v>743848008940</v>
      </c>
      <c r="W14" s="147">
        <v>804389026312</v>
      </c>
      <c r="X14" s="147">
        <v>829253927925</v>
      </c>
    </row>
    <row r="15" spans="2:24">
      <c r="B15" s="99"/>
      <c r="C15" s="99" t="s">
        <v>55</v>
      </c>
      <c r="D15" s="99"/>
      <c r="E15" s="146">
        <v>64358291233</v>
      </c>
      <c r="F15" s="146">
        <v>81729021186</v>
      </c>
      <c r="G15" s="146">
        <v>71070290941</v>
      </c>
      <c r="H15" s="146">
        <v>65436471797</v>
      </c>
      <c r="I15" s="147">
        <v>77851433555</v>
      </c>
      <c r="J15" s="147">
        <v>84682756526</v>
      </c>
      <c r="K15" s="147">
        <v>69195800749</v>
      </c>
      <c r="L15" s="147">
        <v>69298714658</v>
      </c>
      <c r="M15" s="147">
        <v>66940043500</v>
      </c>
      <c r="N15" s="147">
        <v>63728108229</v>
      </c>
      <c r="O15" s="147">
        <v>63445358898</v>
      </c>
      <c r="P15" s="147">
        <v>60858708144</v>
      </c>
      <c r="Q15" s="147">
        <v>66105397300</v>
      </c>
      <c r="R15" s="147">
        <v>87387941234</v>
      </c>
      <c r="S15" s="147">
        <v>116265758424</v>
      </c>
      <c r="T15" s="147">
        <v>69633567723</v>
      </c>
      <c r="U15" s="147">
        <v>103222964592</v>
      </c>
      <c r="V15" s="147">
        <v>92556317153</v>
      </c>
      <c r="W15" s="147">
        <v>89692917197</v>
      </c>
      <c r="X15" s="147">
        <v>98996443759</v>
      </c>
    </row>
    <row r="16" spans="2:24" ht="17">
      <c r="B16" s="99">
        <v>3</v>
      </c>
      <c r="C16" s="141" t="s">
        <v>11</v>
      </c>
      <c r="D16" s="141"/>
      <c r="E16" s="99"/>
      <c r="F16" s="145"/>
      <c r="G16" s="145"/>
      <c r="H16" s="145"/>
      <c r="I16" s="99"/>
      <c r="J16" s="145"/>
      <c r="K16" s="145"/>
      <c r="L16" s="145"/>
      <c r="M16" s="99"/>
      <c r="N16" s="145"/>
      <c r="O16" s="145"/>
      <c r="P16" s="145"/>
      <c r="Q16" s="99"/>
      <c r="R16" s="145"/>
      <c r="S16" s="145"/>
      <c r="T16" s="145"/>
      <c r="U16" s="99"/>
      <c r="V16" s="145"/>
      <c r="W16" s="145"/>
      <c r="X16" s="145"/>
    </row>
    <row r="17" spans="2:24">
      <c r="B17" s="99"/>
      <c r="C17" s="99" t="s">
        <v>58</v>
      </c>
      <c r="D17" s="99"/>
      <c r="E17" s="147">
        <v>148724982545</v>
      </c>
      <c r="F17" s="147">
        <v>148724982545</v>
      </c>
      <c r="G17" s="147">
        <v>148724982545</v>
      </c>
      <c r="H17" s="147">
        <v>148724982545</v>
      </c>
      <c r="I17" s="147">
        <v>113442715940</v>
      </c>
      <c r="J17" s="147">
        <v>106315358790</v>
      </c>
      <c r="K17" s="147">
        <v>102118645526</v>
      </c>
      <c r="L17" s="147">
        <v>165109516135</v>
      </c>
      <c r="M17" s="147">
        <v>176139588483</v>
      </c>
      <c r="N17" s="147">
        <v>162665772379</v>
      </c>
      <c r="O17" s="147">
        <v>144280230148</v>
      </c>
      <c r="P17" s="147">
        <v>150043015990</v>
      </c>
      <c r="Q17" s="147">
        <v>159588309900</v>
      </c>
      <c r="R17" s="147">
        <v>210457556604</v>
      </c>
      <c r="S17" s="147">
        <v>203011791427</v>
      </c>
      <c r="T17" s="147">
        <v>178893247612</v>
      </c>
      <c r="U17" s="147">
        <v>148673659263</v>
      </c>
      <c r="V17" s="147">
        <v>124637566148</v>
      </c>
      <c r="W17" s="147">
        <v>122013326459</v>
      </c>
      <c r="X17" s="147">
        <v>132678865175</v>
      </c>
    </row>
    <row r="18" spans="2:24">
      <c r="B18" s="99"/>
      <c r="C18" s="99" t="s">
        <v>59</v>
      </c>
      <c r="D18" s="99"/>
      <c r="E18" s="147">
        <v>99631561298</v>
      </c>
      <c r="F18" s="147">
        <v>99631561298</v>
      </c>
      <c r="G18" s="147">
        <v>99631561298</v>
      </c>
      <c r="H18" s="147">
        <v>99631561298</v>
      </c>
      <c r="I18" s="147">
        <v>79269416527</v>
      </c>
      <c r="J18" s="147">
        <v>68680855252</v>
      </c>
      <c r="K18" s="147">
        <v>58960975779</v>
      </c>
      <c r="L18" s="147">
        <v>114959432645</v>
      </c>
      <c r="M18" s="147">
        <v>102047179170</v>
      </c>
      <c r="N18" s="147">
        <v>74362717054</v>
      </c>
      <c r="O18" s="147">
        <v>71582094293</v>
      </c>
      <c r="P18" s="147">
        <v>83977625835</v>
      </c>
      <c r="Q18" s="147">
        <v>91200068815</v>
      </c>
      <c r="R18" s="147">
        <v>103037393039</v>
      </c>
      <c r="S18" s="147">
        <v>98097289592</v>
      </c>
      <c r="T18" s="147">
        <v>118788125755</v>
      </c>
      <c r="U18" s="147">
        <v>102636220751</v>
      </c>
      <c r="V18" s="147">
        <v>73188891866</v>
      </c>
      <c r="W18" s="147">
        <v>68572478785</v>
      </c>
      <c r="X18" s="147">
        <v>82521507639</v>
      </c>
    </row>
    <row r="19" spans="2:24" ht="17">
      <c r="B19" s="99"/>
      <c r="C19" s="141" t="s">
        <v>57</v>
      </c>
      <c r="D19" s="141"/>
      <c r="E19" s="147">
        <v>86825545037</v>
      </c>
      <c r="F19" s="147">
        <v>88307979261</v>
      </c>
      <c r="G19" s="149">
        <v>83230730369</v>
      </c>
      <c r="H19" s="149">
        <v>215907239029</v>
      </c>
      <c r="I19" s="147">
        <v>89913756360</v>
      </c>
      <c r="J19" s="149">
        <v>135739011320</v>
      </c>
      <c r="K19" s="149">
        <v>107889326046</v>
      </c>
      <c r="L19" s="149">
        <v>188075397755</v>
      </c>
      <c r="M19" s="149">
        <v>153165668547</v>
      </c>
      <c r="N19" s="149">
        <v>118826361709</v>
      </c>
      <c r="O19" s="149">
        <v>97878095744</v>
      </c>
      <c r="P19" s="149">
        <v>109765904718</v>
      </c>
      <c r="Q19" s="149">
        <v>106673949993</v>
      </c>
      <c r="R19" s="149">
        <v>130619710311</v>
      </c>
      <c r="S19" s="149">
        <v>123579595853</v>
      </c>
      <c r="T19" s="149">
        <v>123254238066</v>
      </c>
      <c r="U19" s="149">
        <v>106385915761</v>
      </c>
      <c r="V19" s="149">
        <v>89254350765</v>
      </c>
      <c r="W19" s="149">
        <v>106224707495</v>
      </c>
      <c r="X19" s="149">
        <v>129624531341</v>
      </c>
    </row>
    <row r="20" spans="2:24">
      <c r="B20" s="99"/>
      <c r="C20" s="99" t="s">
        <v>56</v>
      </c>
      <c r="D20" s="99"/>
      <c r="E20" s="147">
        <v>285177567739</v>
      </c>
      <c r="F20" s="147">
        <v>285177567739</v>
      </c>
      <c r="G20" s="147">
        <v>285177567739</v>
      </c>
      <c r="H20" s="147">
        <v>285177567739</v>
      </c>
      <c r="I20" s="147">
        <v>245499531995</v>
      </c>
      <c r="J20" s="147">
        <v>233220155229</v>
      </c>
      <c r="K20" s="147">
        <v>223785992768</v>
      </c>
      <c r="L20" s="147">
        <v>298261244290</v>
      </c>
      <c r="M20" s="147">
        <v>303334352289</v>
      </c>
      <c r="N20" s="147">
        <v>285345881191</v>
      </c>
      <c r="O20" s="147">
        <v>269842337415</v>
      </c>
      <c r="P20" s="147">
        <v>275990708661</v>
      </c>
      <c r="Q20" s="147">
        <v>295517488564</v>
      </c>
      <c r="R20" s="147">
        <v>381789880612</v>
      </c>
      <c r="S20" s="147">
        <v>375864337747</v>
      </c>
      <c r="T20" s="147">
        <v>366151031018</v>
      </c>
      <c r="U20" s="147">
        <v>352103992611</v>
      </c>
      <c r="V20" s="147">
        <v>331450807474</v>
      </c>
      <c r="W20" s="147">
        <v>320323090986</v>
      </c>
      <c r="X20" s="147">
        <v>321354170526</v>
      </c>
    </row>
    <row r="21" spans="2:24">
      <c r="B21" s="99"/>
      <c r="C21" s="99" t="s">
        <v>55</v>
      </c>
      <c r="D21" s="99"/>
      <c r="E21" s="147">
        <v>171206489746</v>
      </c>
      <c r="F21" s="147">
        <v>171206489746</v>
      </c>
      <c r="G21" s="147">
        <v>171206489746</v>
      </c>
      <c r="H21" s="147">
        <v>171206489746</v>
      </c>
      <c r="I21" s="147">
        <v>146750453271</v>
      </c>
      <c r="J21" s="147">
        <v>138475424493</v>
      </c>
      <c r="K21" s="147">
        <v>132337928045</v>
      </c>
      <c r="L21" s="147">
        <v>191770130645</v>
      </c>
      <c r="M21" s="147">
        <v>179878081661</v>
      </c>
      <c r="N21" s="147">
        <v>153858735886</v>
      </c>
      <c r="O21" s="147">
        <v>139648882408</v>
      </c>
      <c r="P21" s="147">
        <v>145261996537</v>
      </c>
      <c r="Q21" s="147">
        <v>153527090464</v>
      </c>
      <c r="R21" s="147">
        <v>207194006635</v>
      </c>
      <c r="S21" s="147">
        <v>186076959212</v>
      </c>
      <c r="T21" s="147">
        <v>188462418370</v>
      </c>
      <c r="U21" s="147">
        <v>173668503066</v>
      </c>
      <c r="V21" s="147">
        <v>158852662832</v>
      </c>
      <c r="W21" s="147">
        <v>142146845996</v>
      </c>
      <c r="X21" s="147">
        <v>132883054676</v>
      </c>
    </row>
    <row r="22" spans="2:24" ht="17">
      <c r="B22" s="99">
        <v>4</v>
      </c>
      <c r="C22" s="141" t="s">
        <v>12</v>
      </c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</row>
    <row r="23" spans="2:24">
      <c r="B23" s="99"/>
      <c r="C23" s="99" t="s">
        <v>58</v>
      </c>
      <c r="D23" s="99"/>
      <c r="E23" s="147">
        <v>1103855</v>
      </c>
      <c r="F23" s="147">
        <v>929302</v>
      </c>
      <c r="G23" s="147">
        <v>1116473</v>
      </c>
      <c r="H23" s="147">
        <v>938785</v>
      </c>
      <c r="I23" s="147">
        <v>1036739</v>
      </c>
      <c r="J23" s="147">
        <v>1125019</v>
      </c>
      <c r="K23" s="147">
        <v>1235998</v>
      </c>
      <c r="L23" s="147">
        <v>1241604</v>
      </c>
      <c r="M23" s="147">
        <v>1384237</v>
      </c>
      <c r="N23" s="147">
        <v>1291980</v>
      </c>
      <c r="O23" s="147">
        <v>1219496</v>
      </c>
      <c r="P23" s="147">
        <v>1366505</v>
      </c>
      <c r="Q23" s="147">
        <v>1534339</v>
      </c>
      <c r="R23" s="147">
        <v>1523200</v>
      </c>
      <c r="S23" s="147">
        <v>1416665</v>
      </c>
      <c r="T23" s="147">
        <v>1379949</v>
      </c>
      <c r="U23" s="147">
        <v>1321494</v>
      </c>
      <c r="V23" s="147">
        <v>1493331</v>
      </c>
      <c r="W23" s="147">
        <v>1404714</v>
      </c>
      <c r="X23" s="147">
        <v>1497037</v>
      </c>
    </row>
    <row r="24" spans="2:24">
      <c r="B24" s="99"/>
      <c r="C24" s="99" t="s">
        <v>59</v>
      </c>
      <c r="D24" s="99"/>
      <c r="E24" s="147">
        <v>784585</v>
      </c>
      <c r="F24" s="147">
        <v>718715</v>
      </c>
      <c r="G24" s="147">
        <v>890979</v>
      </c>
      <c r="H24" s="147">
        <v>753515</v>
      </c>
      <c r="I24" s="147">
        <v>906634</v>
      </c>
      <c r="J24" s="147">
        <v>627935</v>
      </c>
      <c r="K24" s="147">
        <v>624800</v>
      </c>
      <c r="L24" s="147">
        <v>639864</v>
      </c>
      <c r="M24" s="147">
        <v>700828</v>
      </c>
      <c r="N24" s="147">
        <v>608306</v>
      </c>
      <c r="O24" s="147">
        <v>588895</v>
      </c>
      <c r="P24" s="147">
        <v>565041</v>
      </c>
      <c r="Q24" s="147">
        <v>58743</v>
      </c>
      <c r="R24" s="147">
        <v>764832</v>
      </c>
      <c r="S24" s="147">
        <v>665883</v>
      </c>
      <c r="T24" s="147">
        <v>908381</v>
      </c>
      <c r="U24" s="147">
        <v>932656</v>
      </c>
      <c r="V24" s="147">
        <v>1138136</v>
      </c>
      <c r="W24" s="147">
        <v>967191</v>
      </c>
      <c r="X24" s="147">
        <v>875701</v>
      </c>
    </row>
    <row r="25" spans="2:24" ht="17">
      <c r="B25" s="99"/>
      <c r="C25" s="141" t="s">
        <v>57</v>
      </c>
      <c r="D25" s="141"/>
      <c r="E25" s="149">
        <v>976754</v>
      </c>
      <c r="F25" s="152">
        <v>938099</v>
      </c>
      <c r="G25" s="149">
        <v>1045849</v>
      </c>
      <c r="H25" s="149">
        <v>1086989</v>
      </c>
      <c r="I25" s="149">
        <v>88518</v>
      </c>
      <c r="J25" s="152">
        <v>1062847</v>
      </c>
      <c r="K25" s="149">
        <v>401553</v>
      </c>
      <c r="L25" s="149">
        <v>493742</v>
      </c>
      <c r="M25" s="149">
        <v>480052</v>
      </c>
      <c r="N25" s="149">
        <v>565516</v>
      </c>
      <c r="O25" s="149">
        <v>404281</v>
      </c>
      <c r="P25" s="149">
        <v>770992</v>
      </c>
      <c r="Q25" s="149">
        <v>673982</v>
      </c>
      <c r="R25" s="149">
        <v>874079</v>
      </c>
      <c r="S25" s="149">
        <v>960761</v>
      </c>
      <c r="T25" s="149">
        <v>1081278</v>
      </c>
      <c r="U25" s="149">
        <v>1046017</v>
      </c>
      <c r="V25" s="149">
        <v>1045990</v>
      </c>
      <c r="W25" s="149">
        <v>1137384</v>
      </c>
      <c r="X25" s="149">
        <v>1193081</v>
      </c>
    </row>
    <row r="26" spans="2:24">
      <c r="B26" s="99"/>
      <c r="C26" s="99" t="s">
        <v>56</v>
      </c>
      <c r="D26" s="99"/>
      <c r="E26" s="147">
        <v>7236466</v>
      </c>
      <c r="F26" s="147">
        <v>7086504</v>
      </c>
      <c r="G26" s="147">
        <v>7418390</v>
      </c>
      <c r="H26" s="147">
        <v>7424304</v>
      </c>
      <c r="I26" s="147">
        <v>7702349</v>
      </c>
      <c r="J26" s="147">
        <v>7630135</v>
      </c>
      <c r="K26" s="147">
        <v>7449684</v>
      </c>
      <c r="L26" s="147">
        <v>7253114</v>
      </c>
      <c r="M26" s="147">
        <v>7156383</v>
      </c>
      <c r="N26" s="147">
        <v>6873734</v>
      </c>
      <c r="O26" s="147">
        <v>6624029</v>
      </c>
      <c r="P26" s="147">
        <v>6598137</v>
      </c>
      <c r="Q26" s="147">
        <v>6651812</v>
      </c>
      <c r="R26" s="147">
        <v>6715139</v>
      </c>
      <c r="S26" s="147">
        <v>6680412</v>
      </c>
      <c r="T26" s="147">
        <v>6893160</v>
      </c>
      <c r="U26" s="147">
        <v>7052082</v>
      </c>
      <c r="V26" s="147">
        <v>7343529</v>
      </c>
      <c r="W26" s="147">
        <v>7379475</v>
      </c>
      <c r="X26" s="147">
        <v>7580224</v>
      </c>
    </row>
    <row r="27" spans="2:24">
      <c r="B27" s="99"/>
      <c r="C27" s="99" t="s">
        <v>55</v>
      </c>
      <c r="D27" s="99"/>
      <c r="E27" s="147">
        <v>1870726</v>
      </c>
      <c r="F27" s="147">
        <v>1825406</v>
      </c>
      <c r="G27" s="147">
        <v>2085992</v>
      </c>
      <c r="H27" s="147">
        <v>2280467</v>
      </c>
      <c r="I27" s="147">
        <v>201620</v>
      </c>
      <c r="J27" s="147">
        <v>2316998</v>
      </c>
      <c r="K27" s="147">
        <v>2199531</v>
      </c>
      <c r="L27" s="147">
        <v>2017591</v>
      </c>
      <c r="M27" s="147">
        <v>1949181</v>
      </c>
      <c r="N27" s="147">
        <v>1668271</v>
      </c>
      <c r="O27" s="147">
        <v>1545400</v>
      </c>
      <c r="P27" s="147">
        <v>1450558</v>
      </c>
      <c r="Q27" s="147">
        <v>1456546</v>
      </c>
      <c r="R27" s="147">
        <v>1570435</v>
      </c>
      <c r="S27" s="147">
        <v>1419524</v>
      </c>
      <c r="T27" s="147">
        <v>1542469</v>
      </c>
      <c r="U27" s="147">
        <v>1575540</v>
      </c>
      <c r="V27" s="147">
        <v>1909992</v>
      </c>
      <c r="W27" s="147">
        <v>1842002</v>
      </c>
      <c r="X27" s="147">
        <v>1948786</v>
      </c>
    </row>
    <row r="28" spans="2:24" ht="17">
      <c r="B28" s="99">
        <v>5</v>
      </c>
      <c r="C28" s="141" t="s">
        <v>13</v>
      </c>
      <c r="D28" s="141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</row>
    <row r="29" spans="2:24">
      <c r="B29" s="99"/>
      <c r="C29" s="99" t="s">
        <v>58</v>
      </c>
      <c r="D29" s="99"/>
      <c r="E29" s="147">
        <v>945905221392</v>
      </c>
      <c r="F29" s="147">
        <v>945905221392</v>
      </c>
      <c r="G29" s="147">
        <v>945905221392</v>
      </c>
      <c r="H29" s="147">
        <v>945905221392</v>
      </c>
      <c r="I29" s="147">
        <v>591285427040</v>
      </c>
      <c r="J29" s="147">
        <v>273624650812</v>
      </c>
      <c r="K29" s="147">
        <v>231074640844</v>
      </c>
      <c r="L29" s="147">
        <v>172660668664</v>
      </c>
      <c r="M29" s="147">
        <v>187601086582</v>
      </c>
      <c r="N29" s="147">
        <v>182208543582</v>
      </c>
      <c r="O29" s="147">
        <v>171118290665</v>
      </c>
      <c r="P29" s="147">
        <v>165547101103</v>
      </c>
      <c r="Q29" s="147">
        <v>204770446220</v>
      </c>
      <c r="R29" s="147">
        <v>443424812739</v>
      </c>
      <c r="S29" s="147">
        <v>369125431250</v>
      </c>
      <c r="T29" s="147">
        <v>287482120575</v>
      </c>
      <c r="U29" s="147">
        <v>421547416034</v>
      </c>
      <c r="V29" s="147">
        <v>345596686945</v>
      </c>
      <c r="W29" s="147">
        <v>260727827628</v>
      </c>
      <c r="X29" s="147">
        <v>332000477335</v>
      </c>
    </row>
    <row r="30" spans="2:24">
      <c r="B30" s="99"/>
      <c r="C30" s="99" t="s">
        <v>59</v>
      </c>
      <c r="D30" s="99"/>
      <c r="E30" s="147">
        <v>2007253622193</v>
      </c>
      <c r="F30" s="147">
        <v>2007253622193</v>
      </c>
      <c r="G30" s="147">
        <v>2007253622193</v>
      </c>
      <c r="H30" s="147">
        <v>2007253622193</v>
      </c>
      <c r="I30" s="147">
        <v>3677930441696</v>
      </c>
      <c r="J30" s="147">
        <v>3784785476784</v>
      </c>
      <c r="K30" s="147">
        <v>4556451455693</v>
      </c>
      <c r="L30" s="147">
        <v>4957130972939</v>
      </c>
      <c r="M30" s="147">
        <v>5636482334091</v>
      </c>
      <c r="N30" s="147">
        <v>5720799008647</v>
      </c>
      <c r="O30" s="147">
        <v>6182400600664</v>
      </c>
      <c r="P30" s="147">
        <v>6601734213455</v>
      </c>
      <c r="Q30" s="147">
        <v>7085285972492</v>
      </c>
      <c r="R30" s="147">
        <v>7769790484838</v>
      </c>
      <c r="S30" s="147">
        <v>7963117034619</v>
      </c>
      <c r="T30" s="147">
        <v>7454518137308</v>
      </c>
      <c r="U30" s="147">
        <v>7807263973395</v>
      </c>
      <c r="V30" s="147">
        <v>8035135191020</v>
      </c>
      <c r="W30" s="147">
        <v>8282603730779</v>
      </c>
      <c r="X30" s="147">
        <v>8578183745370</v>
      </c>
    </row>
    <row r="31" spans="2:24" ht="17">
      <c r="B31" s="99"/>
      <c r="C31" s="141" t="s">
        <v>57</v>
      </c>
      <c r="D31" s="141"/>
      <c r="E31" s="149">
        <v>1332643622539</v>
      </c>
      <c r="F31" s="149">
        <v>1661253643383</v>
      </c>
      <c r="G31" s="149">
        <v>1832976913083</v>
      </c>
      <c r="H31" s="149">
        <v>1881926428585</v>
      </c>
      <c r="I31" s="149">
        <v>1325031549499</v>
      </c>
      <c r="J31" s="149">
        <v>17476911341</v>
      </c>
      <c r="K31" s="149">
        <v>53659368745</v>
      </c>
      <c r="L31" s="149">
        <v>214805557460</v>
      </c>
      <c r="M31" s="149">
        <v>223714172616</v>
      </c>
      <c r="N31" s="149">
        <v>229702733613</v>
      </c>
      <c r="O31" s="149">
        <v>34199508114</v>
      </c>
      <c r="P31" s="149">
        <v>138385323616</v>
      </c>
      <c r="Q31" s="149">
        <v>276711305032</v>
      </c>
      <c r="R31" s="149">
        <v>868563146414</v>
      </c>
      <c r="S31" s="149">
        <v>1362558253274</v>
      </c>
      <c r="T31" s="149">
        <v>1272693215960</v>
      </c>
      <c r="U31" s="149">
        <v>1373499280124</v>
      </c>
      <c r="V31" s="149">
        <v>1675006229112</v>
      </c>
      <c r="W31" s="149">
        <v>1885351491585</v>
      </c>
      <c r="X31" s="149">
        <v>1691463825361</v>
      </c>
    </row>
    <row r="32" spans="2:24">
      <c r="B32" s="99"/>
      <c r="C32" s="99" t="s">
        <v>56</v>
      </c>
      <c r="D32" s="99"/>
      <c r="E32" s="147">
        <v>2613070074932</v>
      </c>
      <c r="F32" s="147">
        <v>2613070074932</v>
      </c>
      <c r="G32" s="147">
        <v>2613070074932</v>
      </c>
      <c r="H32" s="147">
        <v>2613070074932</v>
      </c>
      <c r="I32" s="147">
        <v>7268703395568</v>
      </c>
      <c r="J32" s="147">
        <v>6887499317483</v>
      </c>
      <c r="K32" s="147">
        <v>6687172053063</v>
      </c>
      <c r="L32" s="147">
        <v>6080516085752</v>
      </c>
      <c r="M32" s="147">
        <v>5839626657566</v>
      </c>
      <c r="N32" s="147">
        <v>5577427611723</v>
      </c>
      <c r="O32" s="147">
        <v>5337572636540</v>
      </c>
      <c r="P32" s="147">
        <v>5149094524206</v>
      </c>
      <c r="Q32" s="147">
        <v>4983897645927</v>
      </c>
      <c r="R32" s="147">
        <v>5064049232627</v>
      </c>
      <c r="S32" s="147">
        <v>4784690896525</v>
      </c>
      <c r="T32" s="147">
        <v>5356962889162</v>
      </c>
      <c r="U32" s="147">
        <v>5984058012395</v>
      </c>
      <c r="V32" s="147">
        <v>6016051456992</v>
      </c>
      <c r="W32" s="147">
        <v>5754889182182</v>
      </c>
      <c r="X32" s="147">
        <v>6116294571351</v>
      </c>
    </row>
    <row r="33" spans="2:24">
      <c r="B33" s="99"/>
      <c r="C33" s="99" t="s">
        <v>55</v>
      </c>
      <c r="D33" s="99"/>
      <c r="E33" s="147">
        <v>2410942815607</v>
      </c>
      <c r="F33" s="147">
        <v>2410942815607</v>
      </c>
      <c r="G33" s="147">
        <v>2410942815607</v>
      </c>
      <c r="H33" s="147">
        <v>2410942815607</v>
      </c>
      <c r="I33" s="147">
        <v>8199604383116</v>
      </c>
      <c r="J33" s="147">
        <v>8219458297214</v>
      </c>
      <c r="K33" s="147">
        <v>8671064424239</v>
      </c>
      <c r="L33" s="147">
        <v>8990927886117</v>
      </c>
      <c r="M33" s="147">
        <v>9499716677636</v>
      </c>
      <c r="N33" s="147">
        <v>9624055577585</v>
      </c>
      <c r="O33" s="147">
        <v>9863928354915</v>
      </c>
      <c r="P33" s="147">
        <v>10354172604375</v>
      </c>
      <c r="Q33" s="147">
        <v>10690576714942</v>
      </c>
      <c r="R33" s="147">
        <v>11326443648857</v>
      </c>
      <c r="S33" s="147">
        <v>11469945385811</v>
      </c>
      <c r="T33" s="147">
        <v>12172269741814</v>
      </c>
      <c r="U33" s="147">
        <v>12777866114585</v>
      </c>
      <c r="V33" s="147">
        <v>13004158750273</v>
      </c>
      <c r="W33" s="147">
        <v>13444399155372</v>
      </c>
      <c r="X33" s="147">
        <v>14018410448757</v>
      </c>
    </row>
    <row r="34" spans="2:24" ht="17">
      <c r="B34" s="99">
        <v>6</v>
      </c>
      <c r="C34" s="141" t="s">
        <v>14</v>
      </c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</row>
    <row r="35" spans="2:24">
      <c r="B35" s="99"/>
      <c r="C35" s="99" t="s">
        <v>58</v>
      </c>
      <c r="D35" s="99"/>
      <c r="E35" s="147">
        <v>1517166976</v>
      </c>
      <c r="F35" s="147">
        <v>1274592068</v>
      </c>
      <c r="G35" s="147">
        <v>1283473407</v>
      </c>
      <c r="H35" s="147">
        <v>1133892533</v>
      </c>
      <c r="I35" s="147">
        <v>772781719</v>
      </c>
      <c r="J35" s="147">
        <v>717107320</v>
      </c>
      <c r="K35" s="147">
        <v>714334618</v>
      </c>
      <c r="L35" s="147">
        <v>536547176</v>
      </c>
      <c r="M35" s="149">
        <v>485511548</v>
      </c>
      <c r="N35" s="149">
        <v>403574266</v>
      </c>
      <c r="O35" s="149">
        <v>363037417</v>
      </c>
      <c r="P35" s="147">
        <v>305725029</v>
      </c>
      <c r="Q35" s="147">
        <v>398327136</v>
      </c>
      <c r="R35" s="147">
        <v>388924186</v>
      </c>
      <c r="S35" s="147">
        <v>462123976</v>
      </c>
      <c r="T35" s="147">
        <v>801153825</v>
      </c>
      <c r="U35" s="147">
        <v>791902618</v>
      </c>
      <c r="V35" s="147">
        <v>831944701</v>
      </c>
      <c r="W35" s="147">
        <v>825425586</v>
      </c>
      <c r="X35" s="147">
        <v>653772901</v>
      </c>
    </row>
    <row r="36" spans="2:24">
      <c r="B36" s="99"/>
      <c r="C36" s="99" t="s">
        <v>59</v>
      </c>
      <c r="D36" s="99"/>
      <c r="E36" s="147">
        <v>2489683653</v>
      </c>
      <c r="F36" s="147">
        <v>2976891092</v>
      </c>
      <c r="G36" s="147">
        <v>2872206303</v>
      </c>
      <c r="H36" s="147">
        <v>3257836267</v>
      </c>
      <c r="I36" s="147">
        <v>3678102731</v>
      </c>
      <c r="J36" s="147">
        <v>4401796407</v>
      </c>
      <c r="K36" s="147">
        <v>4692356967</v>
      </c>
      <c r="L36" s="147">
        <v>4294797755</v>
      </c>
      <c r="M36" s="149">
        <v>4552796933</v>
      </c>
      <c r="N36" s="149">
        <v>5055581006</v>
      </c>
      <c r="O36" s="149">
        <v>5287113079</v>
      </c>
      <c r="P36" s="147">
        <v>5771313185</v>
      </c>
      <c r="Q36" s="147">
        <v>6116341452</v>
      </c>
      <c r="R36" s="147">
        <v>2160871238</v>
      </c>
      <c r="S36" s="147">
        <v>2234699113</v>
      </c>
      <c r="T36" s="147">
        <v>1681029672</v>
      </c>
      <c r="U36" s="147">
        <v>1748164775</v>
      </c>
      <c r="V36" s="147">
        <v>1659398474</v>
      </c>
      <c r="W36" s="147">
        <v>1547069196</v>
      </c>
      <c r="X36" s="147">
        <v>1165155552</v>
      </c>
    </row>
    <row r="37" spans="2:24" ht="17">
      <c r="B37" s="99"/>
      <c r="C37" s="141" t="s">
        <v>57</v>
      </c>
      <c r="D37" s="141"/>
      <c r="E37" s="149">
        <v>1099554216</v>
      </c>
      <c r="F37" s="149">
        <v>1093868923</v>
      </c>
      <c r="G37" s="149">
        <v>1347049460</v>
      </c>
      <c r="H37" s="149">
        <v>1032165484</v>
      </c>
      <c r="I37" s="149">
        <v>768123482</v>
      </c>
      <c r="J37" s="149">
        <v>149156814</v>
      </c>
      <c r="K37" s="149">
        <v>221491982</v>
      </c>
      <c r="L37" s="149">
        <v>353558821</v>
      </c>
      <c r="M37" s="149">
        <v>353070544</v>
      </c>
      <c r="N37" s="149">
        <v>343732817</v>
      </c>
      <c r="O37" s="149">
        <v>242225578</v>
      </c>
      <c r="P37" s="149">
        <v>397649531</v>
      </c>
      <c r="Q37" s="149">
        <v>350155475</v>
      </c>
      <c r="R37" s="149">
        <v>528539693</v>
      </c>
      <c r="S37" s="149">
        <v>627022772</v>
      </c>
      <c r="T37" s="149">
        <v>594361618</v>
      </c>
      <c r="U37" s="149">
        <v>602991729</v>
      </c>
      <c r="V37" s="149">
        <v>792784533</v>
      </c>
      <c r="W37" s="149">
        <v>837472712</v>
      </c>
      <c r="X37" s="149">
        <v>703382120</v>
      </c>
    </row>
    <row r="38" spans="2:24">
      <c r="B38" s="99"/>
      <c r="C38" s="99" t="s">
        <v>56</v>
      </c>
      <c r="D38" s="99"/>
      <c r="E38" s="147">
        <v>4532636163</v>
      </c>
      <c r="F38" s="147">
        <v>4376417937</v>
      </c>
      <c r="G38" s="147">
        <v>4416285237</v>
      </c>
      <c r="H38" s="147">
        <v>4455675774</v>
      </c>
      <c r="I38" s="147">
        <v>9145362742</v>
      </c>
      <c r="J38" s="147">
        <v>10286925026</v>
      </c>
      <c r="K38" s="147">
        <v>9905520965</v>
      </c>
      <c r="L38" s="147">
        <v>10789980407</v>
      </c>
      <c r="M38" s="149">
        <v>10578854920</v>
      </c>
      <c r="N38" s="149">
        <v>10114775193</v>
      </c>
      <c r="O38" s="149">
        <v>9421554435</v>
      </c>
      <c r="P38" s="147">
        <v>7192745360</v>
      </c>
      <c r="Q38" s="147">
        <v>7048311526</v>
      </c>
      <c r="R38" s="147">
        <v>5859610789</v>
      </c>
      <c r="S38" s="147">
        <v>5886254617</v>
      </c>
      <c r="T38" s="147">
        <v>6235010979</v>
      </c>
      <c r="U38" s="147">
        <v>6185922236</v>
      </c>
      <c r="V38" s="147">
        <v>6281967367</v>
      </c>
      <c r="W38" s="147">
        <v>6155883433</v>
      </c>
      <c r="X38" s="147">
        <v>6727645053</v>
      </c>
    </row>
    <row r="39" spans="2:24">
      <c r="B39" s="99"/>
      <c r="C39" s="99" t="s">
        <v>55</v>
      </c>
      <c r="D39" s="99"/>
      <c r="E39" s="147">
        <v>3561521072</v>
      </c>
      <c r="F39" s="147">
        <v>3568226989</v>
      </c>
      <c r="G39" s="147">
        <v>3505343658</v>
      </c>
      <c r="H39" s="147">
        <v>3735052883</v>
      </c>
      <c r="I39" s="147">
        <v>8644553007</v>
      </c>
      <c r="J39" s="147">
        <v>10367698254</v>
      </c>
      <c r="K39" s="147">
        <v>10361096065</v>
      </c>
      <c r="L39" s="147">
        <v>12733004654</v>
      </c>
      <c r="M39" s="149">
        <v>12900600238</v>
      </c>
      <c r="N39" s="149">
        <v>12963057853</v>
      </c>
      <c r="O39" s="149">
        <v>13027027769</v>
      </c>
      <c r="P39" s="147">
        <v>13302805075</v>
      </c>
      <c r="Q39" s="147">
        <v>13383273724</v>
      </c>
      <c r="R39" s="147">
        <v>8210155101</v>
      </c>
      <c r="S39" s="147">
        <v>8298518817</v>
      </c>
      <c r="T39" s="147">
        <v>7770110129</v>
      </c>
      <c r="U39" s="147">
        <v>7828860146</v>
      </c>
      <c r="V39" s="147">
        <v>7892044635</v>
      </c>
      <c r="W39" s="147">
        <v>7766536580</v>
      </c>
      <c r="X39" s="147">
        <v>8010372227</v>
      </c>
    </row>
    <row r="40" spans="2:24" ht="17">
      <c r="B40" s="99">
        <v>7</v>
      </c>
      <c r="C40" s="141" t="s">
        <v>15</v>
      </c>
      <c r="D40" s="141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</row>
    <row r="41" spans="2:24">
      <c r="B41" s="99"/>
      <c r="C41" s="99" t="s">
        <v>58</v>
      </c>
      <c r="D41" s="99"/>
      <c r="E41" s="147">
        <v>34512068577</v>
      </c>
      <c r="F41" s="147">
        <v>34512068577</v>
      </c>
      <c r="G41" s="147">
        <v>34512068577</v>
      </c>
      <c r="H41" s="147">
        <v>38017626817</v>
      </c>
      <c r="I41" s="147">
        <v>38248329322</v>
      </c>
      <c r="J41" s="147">
        <v>27088497210</v>
      </c>
      <c r="K41" s="147">
        <v>27576424739</v>
      </c>
      <c r="L41" s="147">
        <v>19404955562</v>
      </c>
      <c r="M41" s="149">
        <v>21526954831</v>
      </c>
      <c r="N41" s="149">
        <v>21079236500</v>
      </c>
      <c r="O41" s="149">
        <v>21771038126</v>
      </c>
      <c r="P41" s="147">
        <v>19325367668</v>
      </c>
      <c r="Q41" s="147">
        <v>19626405098</v>
      </c>
      <c r="R41" s="147">
        <v>23336473893</v>
      </c>
      <c r="S41" s="147">
        <v>23378684369</v>
      </c>
      <c r="T41" s="147">
        <v>17677040107</v>
      </c>
      <c r="U41" s="147">
        <v>18155804794</v>
      </c>
      <c r="V41" s="147">
        <v>19211186565</v>
      </c>
      <c r="W41" s="147">
        <v>21447735622</v>
      </c>
      <c r="X41" s="147">
        <v>18053348535</v>
      </c>
    </row>
    <row r="42" spans="2:24">
      <c r="B42" s="99"/>
      <c r="C42" s="99" t="s">
        <v>59</v>
      </c>
      <c r="D42" s="99"/>
      <c r="E42" s="147">
        <v>22879247704</v>
      </c>
      <c r="F42" s="147">
        <v>22879247704</v>
      </c>
      <c r="G42" s="147">
        <v>22879247704</v>
      </c>
      <c r="H42" s="147">
        <v>16654963274</v>
      </c>
      <c r="I42" s="147">
        <v>27632896036</v>
      </c>
      <c r="J42" s="147">
        <v>21419135050</v>
      </c>
      <c r="K42" s="147">
        <v>24470591891</v>
      </c>
      <c r="L42" s="147">
        <v>24273678406</v>
      </c>
      <c r="M42" s="149">
        <v>24563570228</v>
      </c>
      <c r="N42" s="149">
        <v>21456420189</v>
      </c>
      <c r="O42" s="149">
        <v>20196145407</v>
      </c>
      <c r="P42" s="147">
        <v>19204829670</v>
      </c>
      <c r="Q42" s="147">
        <v>25429458473</v>
      </c>
      <c r="R42" s="147">
        <v>15759034780</v>
      </c>
      <c r="S42" s="147">
        <v>14979292354</v>
      </c>
      <c r="T42" s="147">
        <v>23685508054</v>
      </c>
      <c r="U42" s="147">
        <v>23841879612</v>
      </c>
      <c r="V42" s="147">
        <v>21544252750</v>
      </c>
      <c r="W42" s="147">
        <v>21360917345</v>
      </c>
      <c r="X42" s="147">
        <v>21336844940</v>
      </c>
    </row>
    <row r="43" spans="2:24" ht="17">
      <c r="B43" s="99"/>
      <c r="C43" s="141" t="s">
        <v>57</v>
      </c>
      <c r="D43" s="141"/>
      <c r="E43" s="149">
        <v>22631565347</v>
      </c>
      <c r="F43" s="149">
        <v>38126807446</v>
      </c>
      <c r="G43" s="149">
        <v>28767144536</v>
      </c>
      <c r="H43" s="149">
        <v>35053952640</v>
      </c>
      <c r="I43" s="149">
        <v>20969538241</v>
      </c>
      <c r="J43" s="149">
        <v>10247260905</v>
      </c>
      <c r="K43" s="149">
        <v>16325501902</v>
      </c>
      <c r="L43" s="149">
        <v>17504471313</v>
      </c>
      <c r="M43" s="149">
        <v>17080338832</v>
      </c>
      <c r="N43" s="149">
        <v>19554712902</v>
      </c>
      <c r="O43" s="149">
        <v>14205903843</v>
      </c>
      <c r="P43" s="149">
        <v>19359952547</v>
      </c>
      <c r="Q43" s="149">
        <v>17221287395</v>
      </c>
      <c r="R43" s="149">
        <v>27723147372</v>
      </c>
      <c r="S43" s="149">
        <v>23036260452</v>
      </c>
      <c r="T43" s="149">
        <v>25122225717</v>
      </c>
      <c r="U43" s="149">
        <v>18486318275</v>
      </c>
      <c r="V43" s="149">
        <v>29317982474</v>
      </c>
      <c r="W43" s="149">
        <v>22736222619</v>
      </c>
      <c r="X43" s="149">
        <v>22418080131</v>
      </c>
    </row>
    <row r="44" spans="2:24">
      <c r="B44" s="99"/>
      <c r="C44" s="99" t="s">
        <v>56</v>
      </c>
      <c r="D44" s="99"/>
      <c r="E44" s="147">
        <v>309388614530</v>
      </c>
      <c r="F44" s="147">
        <v>309388614530</v>
      </c>
      <c r="G44" s="147">
        <v>309388614530</v>
      </c>
      <c r="H44" s="147">
        <v>302636796677</v>
      </c>
      <c r="I44" s="147">
        <v>301231881730</v>
      </c>
      <c r="J44" s="147">
        <v>282502430298</v>
      </c>
      <c r="K44" s="147">
        <v>276892247526</v>
      </c>
      <c r="L44" s="147">
        <v>270508602770</v>
      </c>
      <c r="M44" s="149">
        <v>262695172728</v>
      </c>
      <c r="N44" s="149">
        <v>255161657384</v>
      </c>
      <c r="O44" s="149">
        <v>246083724363</v>
      </c>
      <c r="P44" s="147">
        <v>23933398335</v>
      </c>
      <c r="Q44" s="147">
        <v>241482571614</v>
      </c>
      <c r="R44" s="147">
        <v>228718687689</v>
      </c>
      <c r="S44" s="147">
        <v>224058825220</v>
      </c>
      <c r="T44" s="147">
        <v>224704254718</v>
      </c>
      <c r="U44" s="147">
        <v>222691715893</v>
      </c>
      <c r="V44" s="147">
        <v>225906530419</v>
      </c>
      <c r="W44" s="147">
        <v>224468888020</v>
      </c>
      <c r="X44" s="147">
        <v>358763150139</v>
      </c>
    </row>
    <row r="45" spans="2:24">
      <c r="B45" s="99"/>
      <c r="C45" s="99" t="s">
        <v>55</v>
      </c>
      <c r="D45" s="99"/>
      <c r="E45" s="147">
        <v>46690269084</v>
      </c>
      <c r="F45" s="147">
        <v>46690269084</v>
      </c>
      <c r="G45" s="147">
        <v>46690269084</v>
      </c>
      <c r="H45" s="147">
        <v>41462629189</v>
      </c>
      <c r="I45" s="147">
        <v>51519648394</v>
      </c>
      <c r="J45" s="147">
        <v>46683092012</v>
      </c>
      <c r="K45" s="147">
        <v>48847587088</v>
      </c>
      <c r="L45" s="147">
        <v>52352752945</v>
      </c>
      <c r="M45" s="149">
        <v>51659143195</v>
      </c>
      <c r="N45" s="149">
        <v>47898355661</v>
      </c>
      <c r="O45" s="149">
        <v>45687901945</v>
      </c>
      <c r="P45" s="147">
        <v>47302648250</v>
      </c>
      <c r="Q45" s="147">
        <v>53096232527</v>
      </c>
      <c r="R45" s="147">
        <v>43416458834</v>
      </c>
      <c r="S45" s="147">
        <v>42643816408</v>
      </c>
      <c r="T45" s="147">
        <v>53996429050</v>
      </c>
      <c r="U45" s="147">
        <v>54094737098</v>
      </c>
      <c r="V45" s="147">
        <v>51797110236</v>
      </c>
      <c r="W45" s="147">
        <v>51614824831</v>
      </c>
      <c r="X45" s="147">
        <v>52183775772</v>
      </c>
    </row>
    <row r="46" spans="2:24" ht="17">
      <c r="B46" s="99">
        <v>8</v>
      </c>
      <c r="C46" s="141" t="s">
        <v>16</v>
      </c>
      <c r="D46" s="141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</row>
    <row r="47" spans="2:24">
      <c r="B47" s="99"/>
      <c r="C47" s="99" t="s">
        <v>58</v>
      </c>
      <c r="D47" s="99"/>
      <c r="E47" s="147">
        <v>93219013426</v>
      </c>
      <c r="F47" s="147">
        <v>89752879057</v>
      </c>
      <c r="G47" s="147">
        <v>92957561233</v>
      </c>
      <c r="H47" s="149">
        <v>50686494782</v>
      </c>
      <c r="I47" s="147">
        <v>62454687376</v>
      </c>
      <c r="J47" s="147">
        <v>59553623638</v>
      </c>
      <c r="K47" s="147">
        <v>58769120972</v>
      </c>
      <c r="L47" s="147">
        <v>55211778498</v>
      </c>
      <c r="M47" s="153">
        <v>50686494782</v>
      </c>
      <c r="N47" s="153">
        <v>52249191040</v>
      </c>
      <c r="O47" s="153">
        <v>53858514565</v>
      </c>
      <c r="P47" s="147">
        <v>54436318441</v>
      </c>
      <c r="Q47" s="147">
        <v>54112868440</v>
      </c>
      <c r="R47" s="147">
        <v>54014540723</v>
      </c>
      <c r="S47" s="147">
        <v>56649367420</v>
      </c>
      <c r="T47" s="147">
        <v>34184789301</v>
      </c>
      <c r="U47" s="147">
        <v>32159959733</v>
      </c>
      <c r="V47" s="147">
        <v>35474407705</v>
      </c>
      <c r="W47" s="147">
        <v>32902256628</v>
      </c>
      <c r="X47" s="147">
        <v>33787422242</v>
      </c>
    </row>
    <row r="48" spans="2:24">
      <c r="B48" s="99"/>
      <c r="C48" s="99" t="s">
        <v>59</v>
      </c>
      <c r="D48" s="99"/>
      <c r="E48" s="147">
        <v>44729802476</v>
      </c>
      <c r="F48" s="147">
        <v>44288121913</v>
      </c>
      <c r="G48" s="147">
        <v>40030235874</v>
      </c>
      <c r="H48" s="147">
        <v>50490247279</v>
      </c>
      <c r="I48" s="147">
        <v>45943550075</v>
      </c>
      <c r="J48" s="147">
        <v>47727831808</v>
      </c>
      <c r="K48" s="147">
        <v>41200653720</v>
      </c>
      <c r="L48" s="147">
        <v>47140889442</v>
      </c>
      <c r="M48" s="153">
        <v>35093096520</v>
      </c>
      <c r="N48" s="153">
        <v>38493719903</v>
      </c>
      <c r="O48" s="153">
        <v>40571502231</v>
      </c>
      <c r="P48" s="147">
        <v>49557803766</v>
      </c>
      <c r="Q48" s="147">
        <v>47144662792</v>
      </c>
      <c r="R48" s="147">
        <v>46951860160</v>
      </c>
      <c r="S48" s="147">
        <v>54343811263</v>
      </c>
      <c r="T48" s="147">
        <v>74206852627</v>
      </c>
      <c r="U48" s="147">
        <v>71539186825</v>
      </c>
      <c r="V48" s="147">
        <v>50347631968</v>
      </c>
      <c r="W48" s="147">
        <v>44190473103</v>
      </c>
      <c r="X48" s="147">
        <v>47115276731</v>
      </c>
    </row>
    <row r="49" spans="2:24" ht="17">
      <c r="B49" s="99"/>
      <c r="C49" s="141" t="s">
        <v>57</v>
      </c>
      <c r="D49" s="141"/>
      <c r="E49" s="149">
        <v>29316051212</v>
      </c>
      <c r="F49" s="149">
        <v>32346553244</v>
      </c>
      <c r="G49" s="149">
        <v>34392646657</v>
      </c>
      <c r="H49" s="149">
        <v>34977773916</v>
      </c>
      <c r="I49" s="149">
        <v>22117833013</v>
      </c>
      <c r="J49" s="149">
        <v>18845046288</v>
      </c>
      <c r="K49" s="149">
        <v>22974052810</v>
      </c>
      <c r="L49" s="149">
        <v>23022459279</v>
      </c>
      <c r="M49" s="149">
        <v>17962415220</v>
      </c>
      <c r="N49" s="149">
        <v>20661288603</v>
      </c>
      <c r="O49" s="149">
        <v>23762936795</v>
      </c>
      <c r="P49" s="149">
        <v>23217368066</v>
      </c>
      <c r="Q49" s="149">
        <v>19025434158</v>
      </c>
      <c r="R49" s="149">
        <v>18358590076</v>
      </c>
      <c r="S49" s="149">
        <v>22113179126</v>
      </c>
      <c r="T49" s="149">
        <v>24896559069</v>
      </c>
      <c r="U49" s="149">
        <v>18053248828</v>
      </c>
      <c r="V49" s="149">
        <v>17336479129</v>
      </c>
      <c r="W49" s="149">
        <v>20420732716</v>
      </c>
      <c r="X49" s="149">
        <v>21404756716</v>
      </c>
    </row>
    <row r="50" spans="2:24">
      <c r="B50" s="99"/>
      <c r="C50" s="99" t="s">
        <v>56</v>
      </c>
      <c r="D50" s="99"/>
      <c r="E50" s="147">
        <v>353609743660</v>
      </c>
      <c r="F50" s="147">
        <v>353818214404</v>
      </c>
      <c r="G50" s="147">
        <v>370135603809</v>
      </c>
      <c r="H50" s="147">
        <v>351483053912</v>
      </c>
      <c r="I50" s="147">
        <v>336671111661</v>
      </c>
      <c r="J50" s="147">
        <v>329370565365</v>
      </c>
      <c r="K50" s="147">
        <v>322303411712</v>
      </c>
      <c r="L50" s="147">
        <v>317031964534</v>
      </c>
      <c r="M50" s="153">
        <v>309211608333</v>
      </c>
      <c r="N50" s="153">
        <v>305138996882</v>
      </c>
      <c r="O50" s="153">
        <v>301779269071</v>
      </c>
      <c r="P50" s="147">
        <v>301506104882</v>
      </c>
      <c r="Q50" s="147">
        <v>298001533716</v>
      </c>
      <c r="R50" s="147">
        <v>294025834082</v>
      </c>
      <c r="S50" s="147">
        <v>293102882293</v>
      </c>
      <c r="T50" s="147">
        <v>267905168207</v>
      </c>
      <c r="U50" s="147">
        <v>260611904364</v>
      </c>
      <c r="V50" s="147">
        <v>253601158787</v>
      </c>
      <c r="W50" s="147">
        <v>245605853793</v>
      </c>
      <c r="X50" s="147">
        <v>243227525308</v>
      </c>
    </row>
    <row r="51" spans="2:24">
      <c r="B51" s="99"/>
      <c r="C51" s="99" t="s">
        <v>55</v>
      </c>
      <c r="D51" s="99"/>
      <c r="E51" s="147">
        <v>109489098760</v>
      </c>
      <c r="F51" s="147">
        <v>107908875287</v>
      </c>
      <c r="G51" s="147">
        <v>107101758108</v>
      </c>
      <c r="H51" s="147">
        <v>116925646360</v>
      </c>
      <c r="I51" s="147">
        <v>107377831627</v>
      </c>
      <c r="J51" s="147">
        <v>108372222888</v>
      </c>
      <c r="K51" s="147">
        <v>107542039552</v>
      </c>
      <c r="L51" s="147">
        <v>101678044013</v>
      </c>
      <c r="M51" s="153">
        <v>98454090658</v>
      </c>
      <c r="N51" s="153">
        <v>97751623396</v>
      </c>
      <c r="O51" s="153">
        <v>96088865676</v>
      </c>
      <c r="P51" s="147">
        <v>98256140568</v>
      </c>
      <c r="Q51" s="147">
        <v>97475996482</v>
      </c>
      <c r="R51" s="147">
        <v>99681602370</v>
      </c>
      <c r="S51" s="147">
        <v>96120540593</v>
      </c>
      <c r="T51" s="147">
        <v>95158553605</v>
      </c>
      <c r="U51" s="147">
        <v>91541279188</v>
      </c>
      <c r="V51" s="147">
        <v>88132630888</v>
      </c>
      <c r="W51" s="147">
        <v>81421838071</v>
      </c>
      <c r="X51" s="147">
        <v>81483602119</v>
      </c>
    </row>
    <row r="52" spans="2:24" ht="17">
      <c r="B52" s="99">
        <v>9</v>
      </c>
      <c r="C52" s="141" t="s">
        <v>17</v>
      </c>
      <c r="D52" s="141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</row>
    <row r="53" spans="2:24">
      <c r="B53" s="99"/>
      <c r="C53" s="99" t="s">
        <v>58</v>
      </c>
      <c r="D53" s="99"/>
      <c r="E53" s="147">
        <v>76423224206</v>
      </c>
      <c r="F53" s="147">
        <v>76423224206</v>
      </c>
      <c r="G53" s="147">
        <v>73451836658</v>
      </c>
      <c r="H53" s="147">
        <v>49132663896</v>
      </c>
      <c r="I53" s="147">
        <v>50119820922</v>
      </c>
      <c r="J53" s="147">
        <v>39197924842</v>
      </c>
      <c r="K53" s="147">
        <v>33017947759</v>
      </c>
      <c r="L53" s="147">
        <v>22244772501</v>
      </c>
      <c r="M53" s="149">
        <v>55054595838</v>
      </c>
      <c r="N53" s="147">
        <v>46422571539</v>
      </c>
      <c r="O53" s="149">
        <v>47254838083</v>
      </c>
      <c r="P53" s="147">
        <v>37793034662</v>
      </c>
      <c r="Q53" s="147">
        <v>44151261076</v>
      </c>
      <c r="R53" s="147">
        <v>46149506073</v>
      </c>
      <c r="S53" s="147">
        <v>43579565651</v>
      </c>
      <c r="T53" s="147">
        <v>200200256743</v>
      </c>
      <c r="U53" s="147">
        <v>217311408665</v>
      </c>
      <c r="V53" s="147">
        <v>210329638791</v>
      </c>
      <c r="W53" s="147">
        <v>222003036059</v>
      </c>
      <c r="X53" s="147">
        <v>222565767154</v>
      </c>
    </row>
    <row r="54" spans="2:24">
      <c r="B54" s="99"/>
      <c r="C54" s="99" t="s">
        <v>59</v>
      </c>
      <c r="D54" s="99"/>
      <c r="E54" s="147">
        <v>43681594924</v>
      </c>
      <c r="F54" s="147">
        <v>43681594924</v>
      </c>
      <c r="G54" s="147">
        <v>43879176260</v>
      </c>
      <c r="H54" s="147">
        <v>43307998190</v>
      </c>
      <c r="I54" s="147">
        <v>49089557566</v>
      </c>
      <c r="J54" s="147">
        <v>44532035549</v>
      </c>
      <c r="K54" s="147">
        <v>46059281600</v>
      </c>
      <c r="L54" s="147">
        <v>36588443043</v>
      </c>
      <c r="M54" s="149">
        <v>38464408160</v>
      </c>
      <c r="N54" s="147">
        <v>33753517411</v>
      </c>
      <c r="O54" s="149">
        <v>35849945132</v>
      </c>
      <c r="P54" s="147">
        <v>16348628229</v>
      </c>
      <c r="Q54" s="147">
        <v>20985386316</v>
      </c>
      <c r="R54" s="147">
        <v>26564419648</v>
      </c>
      <c r="S54" s="147">
        <v>21541069670</v>
      </c>
      <c r="T54" s="147">
        <v>68244336694</v>
      </c>
      <c r="U54" s="147">
        <v>69014034214</v>
      </c>
      <c r="V54" s="147">
        <v>49399525907</v>
      </c>
      <c r="W54" s="147">
        <v>47400135499</v>
      </c>
      <c r="X54" s="147">
        <v>47505697907</v>
      </c>
    </row>
    <row r="55" spans="2:24" ht="17">
      <c r="B55" s="99"/>
      <c r="C55" s="141" t="s">
        <v>57</v>
      </c>
      <c r="D55" s="141"/>
      <c r="E55" s="149">
        <v>12022063672</v>
      </c>
      <c r="F55" s="149">
        <v>12022063672</v>
      </c>
      <c r="G55" s="149">
        <v>12022063672</v>
      </c>
      <c r="H55" s="149">
        <v>12022063672</v>
      </c>
      <c r="I55" s="149">
        <v>12022063672</v>
      </c>
      <c r="J55" s="149">
        <v>12022063672</v>
      </c>
      <c r="K55" s="149">
        <v>12022063672</v>
      </c>
      <c r="L55" s="149">
        <v>12022063672</v>
      </c>
      <c r="M55" s="149">
        <v>12022063672</v>
      </c>
      <c r="N55" s="149">
        <v>10938927647</v>
      </c>
      <c r="O55" s="149">
        <v>11222627045</v>
      </c>
      <c r="P55" s="149">
        <v>-13718326733</v>
      </c>
      <c r="Q55" s="149">
        <v>17850817870</v>
      </c>
      <c r="R55" s="149">
        <v>17564378383</v>
      </c>
      <c r="S55" s="149">
        <v>14639424588</v>
      </c>
      <c r="T55" s="149">
        <v>71831547856</v>
      </c>
      <c r="U55" s="149">
        <v>84246595453</v>
      </c>
      <c r="V55" s="149">
        <v>82741930701</v>
      </c>
      <c r="W55" s="149">
        <v>77911828654</v>
      </c>
      <c r="X55" s="149">
        <v>62094687534</v>
      </c>
    </row>
    <row r="56" spans="2:24">
      <c r="B56" s="99"/>
      <c r="C56" s="99" t="s">
        <v>56</v>
      </c>
      <c r="D56" s="99"/>
      <c r="E56" s="147">
        <v>142632963284</v>
      </c>
      <c r="F56" s="147">
        <v>142632963284</v>
      </c>
      <c r="G56" s="147">
        <v>140178127066</v>
      </c>
      <c r="H56" s="147">
        <v>57163867424</v>
      </c>
      <c r="I56" s="147">
        <v>58375389176</v>
      </c>
      <c r="J56" s="147">
        <v>47172384761</v>
      </c>
      <c r="K56" s="147">
        <v>40473715261</v>
      </c>
      <c r="L56" s="147">
        <v>27606076935</v>
      </c>
      <c r="M56" s="149">
        <v>171530657783</v>
      </c>
      <c r="N56" s="147">
        <v>165901471829</v>
      </c>
      <c r="O56" s="149">
        <v>169867950166</v>
      </c>
      <c r="P56" s="147">
        <v>157277320994</v>
      </c>
      <c r="Q56" s="147">
        <v>164635457430</v>
      </c>
      <c r="R56" s="147">
        <v>168698787264</v>
      </c>
      <c r="S56" s="147">
        <v>165268342559</v>
      </c>
      <c r="T56" s="147">
        <v>475033060324</v>
      </c>
      <c r="U56" s="147">
        <v>489786013727</v>
      </c>
      <c r="V56" s="147">
        <v>480094399525</v>
      </c>
      <c r="W56" s="147">
        <v>492668093163</v>
      </c>
      <c r="X56" s="147">
        <v>494887993945</v>
      </c>
    </row>
    <row r="57" spans="2:24">
      <c r="B57" s="99"/>
      <c r="C57" s="99" t="s">
        <v>55</v>
      </c>
      <c r="D57" s="99"/>
      <c r="E57" s="147">
        <v>69239005301</v>
      </c>
      <c r="F57" s="147">
        <v>69239005301</v>
      </c>
      <c r="G57" s="147">
        <v>69530921133</v>
      </c>
      <c r="H57" s="147">
        <v>68801967457</v>
      </c>
      <c r="I57" s="147">
        <v>78585629213</v>
      </c>
      <c r="J57" s="147">
        <v>69632074494</v>
      </c>
      <c r="K57" s="147">
        <v>71617917581</v>
      </c>
      <c r="L57" s="147">
        <v>36588443043</v>
      </c>
      <c r="M57" s="149">
        <v>40050718174</v>
      </c>
      <c r="N57" s="147">
        <v>35146877425</v>
      </c>
      <c r="O57" s="149">
        <v>37257305146</v>
      </c>
      <c r="P57" s="147">
        <v>18125030031</v>
      </c>
      <c r="Q57" s="147">
        <v>22682484320</v>
      </c>
      <c r="R57" s="147">
        <v>28186423956</v>
      </c>
      <c r="S57" s="147">
        <v>23174960855</v>
      </c>
      <c r="T57" s="147">
        <v>81035237770</v>
      </c>
      <c r="U57" s="147">
        <v>81475991891</v>
      </c>
      <c r="V57" s="147">
        <v>61315285386</v>
      </c>
      <c r="W57" s="147">
        <v>59272885925</v>
      </c>
      <c r="X57" s="147">
        <v>59091926505</v>
      </c>
    </row>
    <row r="58" spans="2:24" ht="17">
      <c r="B58" s="99">
        <v>10</v>
      </c>
      <c r="C58" s="144" t="s">
        <v>18</v>
      </c>
      <c r="D58" s="141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</row>
    <row r="59" spans="2:24">
      <c r="B59" s="99"/>
      <c r="C59" s="99" t="s">
        <v>58</v>
      </c>
      <c r="D59" s="99"/>
      <c r="E59" s="147">
        <v>90512094184</v>
      </c>
      <c r="F59" s="147">
        <v>87038621576</v>
      </c>
      <c r="G59" s="147">
        <v>89110656883</v>
      </c>
      <c r="H59" s="147">
        <v>64816994246</v>
      </c>
      <c r="I59" s="147">
        <v>43998830082</v>
      </c>
      <c r="J59" s="147">
        <v>44128424059</v>
      </c>
      <c r="K59" s="147">
        <v>43800608233</v>
      </c>
      <c r="L59" s="147">
        <v>42602225466</v>
      </c>
      <c r="M59" s="149">
        <v>45888187087</v>
      </c>
      <c r="N59" s="149">
        <v>40445451657</v>
      </c>
      <c r="O59" s="149">
        <v>47565700959</v>
      </c>
      <c r="P59" s="147">
        <v>45210701607</v>
      </c>
      <c r="Q59" s="147">
        <v>48257279992</v>
      </c>
      <c r="R59" s="147">
        <v>50807014549</v>
      </c>
      <c r="S59" s="147">
        <v>53416586200</v>
      </c>
      <c r="T59" s="147">
        <v>38060513446</v>
      </c>
      <c r="U59" s="147">
        <v>39933411517</v>
      </c>
      <c r="V59" s="147">
        <v>46815895501</v>
      </c>
      <c r="W59" s="147">
        <v>47807011082</v>
      </c>
      <c r="X59" s="147">
        <v>38973220117</v>
      </c>
    </row>
    <row r="60" spans="2:24">
      <c r="B60" s="99"/>
      <c r="C60" s="99" t="s">
        <v>59</v>
      </c>
      <c r="D60" s="99"/>
      <c r="E60" s="147">
        <v>83169177377</v>
      </c>
      <c r="F60" s="147">
        <v>153518542424</v>
      </c>
      <c r="G60" s="147">
        <v>65647131831</v>
      </c>
      <c r="H60" s="147">
        <v>111678713109</v>
      </c>
      <c r="I60" s="147">
        <v>176008161881</v>
      </c>
      <c r="J60" s="147">
        <v>155446540083</v>
      </c>
      <c r="K60" s="147">
        <v>162621021985</v>
      </c>
      <c r="L60" s="147">
        <v>141011386027</v>
      </c>
      <c r="M60" s="149">
        <v>162398542793</v>
      </c>
      <c r="N60" s="149">
        <v>161685797886</v>
      </c>
      <c r="O60" s="149">
        <v>159891389027</v>
      </c>
      <c r="P60" s="147">
        <v>156558710680</v>
      </c>
      <c r="Q60" s="147">
        <v>156119739974</v>
      </c>
      <c r="R60" s="147">
        <v>157025256855</v>
      </c>
      <c r="S60" s="147">
        <v>157483786838</v>
      </c>
      <c r="T60" s="147">
        <v>32038221267</v>
      </c>
      <c r="U60" s="147">
        <v>34285741122</v>
      </c>
      <c r="V60" s="147">
        <v>42191229207</v>
      </c>
      <c r="W60" s="147">
        <v>14921808511</v>
      </c>
      <c r="X60" s="147">
        <v>92016159190</v>
      </c>
    </row>
    <row r="61" spans="2:24" ht="17">
      <c r="B61" s="99"/>
      <c r="C61" s="141" t="s">
        <v>57</v>
      </c>
      <c r="D61" s="141"/>
      <c r="E61" s="149">
        <v>30248432684</v>
      </c>
      <c r="F61" s="149">
        <v>27356689791</v>
      </c>
      <c r="G61" s="149">
        <v>26396164041</v>
      </c>
      <c r="H61" s="149">
        <v>22272301958</v>
      </c>
      <c r="I61" s="149">
        <v>24030545659</v>
      </c>
      <c r="J61" s="149">
        <v>18655963836</v>
      </c>
      <c r="K61" s="149">
        <v>21306615772</v>
      </c>
      <c r="L61" s="149">
        <v>25016376150</v>
      </c>
      <c r="M61" s="149">
        <v>22616266005</v>
      </c>
      <c r="N61" s="149">
        <v>18532095659</v>
      </c>
      <c r="O61" s="149">
        <v>19065106241</v>
      </c>
      <c r="P61" s="149">
        <v>22408867744</v>
      </c>
      <c r="Q61" s="149">
        <v>23798357251</v>
      </c>
      <c r="R61" s="149">
        <v>22832556665</v>
      </c>
      <c r="S61" s="149">
        <v>23729622323</v>
      </c>
      <c r="T61" s="149">
        <v>16011860416</v>
      </c>
      <c r="U61" s="149">
        <v>26007290822</v>
      </c>
      <c r="V61" s="149">
        <v>23055721614</v>
      </c>
      <c r="W61" s="149">
        <v>20005864676</v>
      </c>
      <c r="X61" s="149">
        <v>22758631595</v>
      </c>
    </row>
    <row r="62" spans="2:24">
      <c r="B62" s="99"/>
      <c r="C62" s="99" t="s">
        <v>56</v>
      </c>
      <c r="D62" s="99"/>
      <c r="E62" s="147">
        <v>358266101897</v>
      </c>
      <c r="F62" s="147">
        <v>347910575073</v>
      </c>
      <c r="G62" s="147">
        <v>343073277364</v>
      </c>
      <c r="H62" s="147">
        <v>217821047351</v>
      </c>
      <c r="I62" s="147">
        <v>192135762068</v>
      </c>
      <c r="J62" s="147">
        <v>187391865818</v>
      </c>
      <c r="K62" s="147">
        <v>182220784217</v>
      </c>
      <c r="L62" s="147">
        <v>177182837855</v>
      </c>
      <c r="M62" s="149">
        <v>178989080194</v>
      </c>
      <c r="N62" s="149">
        <v>170761499929</v>
      </c>
      <c r="O62" s="149">
        <v>174556296159</v>
      </c>
      <c r="P62" s="147">
        <v>169199466266</v>
      </c>
      <c r="Q62" s="147">
        <v>170295462244</v>
      </c>
      <c r="R62" s="147">
        <v>170627383628</v>
      </c>
      <c r="S62" s="147">
        <v>171128538015</v>
      </c>
      <c r="T62" s="147">
        <v>152312552325</v>
      </c>
      <c r="U62" s="147">
        <v>152482058968</v>
      </c>
      <c r="V62" s="147">
        <v>157218606149</v>
      </c>
      <c r="W62" s="147">
        <v>158813270826</v>
      </c>
      <c r="X62" s="147">
        <v>109860718586</v>
      </c>
    </row>
    <row r="63" spans="2:24">
      <c r="B63" s="99"/>
      <c r="C63" s="99" t="s">
        <v>55</v>
      </c>
      <c r="D63" s="99"/>
      <c r="E63" s="147">
        <v>166317395526</v>
      </c>
      <c r="F63" s="147">
        <v>165965751928</v>
      </c>
      <c r="G63" s="147">
        <v>166739146059</v>
      </c>
      <c r="H63" s="147">
        <v>166615624916</v>
      </c>
      <c r="I63" s="147">
        <v>189501066513</v>
      </c>
      <c r="J63" s="147">
        <v>168931539715</v>
      </c>
      <c r="K63" s="147">
        <v>175904601617</v>
      </c>
      <c r="L63" s="147">
        <v>169445987429</v>
      </c>
      <c r="M63" s="149">
        <v>178539238336</v>
      </c>
      <c r="N63" s="149">
        <v>177696451429</v>
      </c>
      <c r="O63" s="149">
        <v>175649742570</v>
      </c>
      <c r="P63" s="147">
        <v>171094237876</v>
      </c>
      <c r="Q63" s="147">
        <v>169853367170</v>
      </c>
      <c r="R63" s="147">
        <v>170268484051</v>
      </c>
      <c r="S63" s="147">
        <v>170647014034</v>
      </c>
      <c r="T63" s="147">
        <v>148741131854</v>
      </c>
      <c r="U63" s="147">
        <v>145861438071</v>
      </c>
      <c r="V63" s="147">
        <v>150888912068</v>
      </c>
      <c r="W63" s="147">
        <v>154494484972</v>
      </c>
      <c r="X63" s="147">
        <v>20269557435</v>
      </c>
    </row>
    <row r="64" spans="2:24" ht="17">
      <c r="B64" s="99">
        <v>11</v>
      </c>
      <c r="C64" s="141" t="s">
        <v>19</v>
      </c>
      <c r="D64" s="141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</row>
    <row r="65" spans="2:24">
      <c r="B65" s="99"/>
      <c r="C65" s="99" t="s">
        <v>58</v>
      </c>
      <c r="D65" s="99"/>
      <c r="E65" s="147">
        <v>215139696</v>
      </c>
      <c r="F65" s="147">
        <v>215139696</v>
      </c>
      <c r="G65" s="147">
        <v>218522653</v>
      </c>
      <c r="H65" s="147">
        <v>223248644</v>
      </c>
      <c r="I65" s="147">
        <v>214228730</v>
      </c>
      <c r="J65" s="147">
        <v>222940644</v>
      </c>
      <c r="K65" s="147">
        <v>223870584</v>
      </c>
      <c r="L65" s="147">
        <v>248654972</v>
      </c>
      <c r="M65" s="154">
        <v>271994253</v>
      </c>
      <c r="N65" s="155">
        <v>299299251</v>
      </c>
      <c r="O65" s="156">
        <v>346873363</v>
      </c>
      <c r="P65" s="147">
        <v>429449055</v>
      </c>
      <c r="Q65" s="147">
        <v>512356544</v>
      </c>
      <c r="R65" s="147">
        <v>576846986</v>
      </c>
      <c r="S65" s="147">
        <v>635443647</v>
      </c>
      <c r="T65" s="147">
        <v>652053930</v>
      </c>
      <c r="U65" s="147">
        <v>690486178</v>
      </c>
      <c r="V65" s="147">
        <v>588200699</v>
      </c>
      <c r="W65" s="147">
        <v>540340192</v>
      </c>
      <c r="X65" s="147">
        <v>589655846</v>
      </c>
    </row>
    <row r="66" spans="2:24">
      <c r="B66" s="99"/>
      <c r="C66" s="99" t="s">
        <v>59</v>
      </c>
      <c r="D66" s="99"/>
      <c r="E66" s="147">
        <v>192344484</v>
      </c>
      <c r="F66" s="147">
        <v>192344484</v>
      </c>
      <c r="G66" s="147">
        <v>182002680</v>
      </c>
      <c r="H66" s="147">
        <v>176004127</v>
      </c>
      <c r="I66" s="147">
        <v>172952722</v>
      </c>
      <c r="J66" s="147">
        <v>177337113</v>
      </c>
      <c r="K66" s="147">
        <v>171196110</v>
      </c>
      <c r="L66" s="147">
        <v>192089546</v>
      </c>
      <c r="M66" s="154">
        <v>193049071</v>
      </c>
      <c r="N66" s="155">
        <v>219390991</v>
      </c>
      <c r="O66" s="156">
        <v>230936795</v>
      </c>
      <c r="P66" s="147">
        <v>296637740</v>
      </c>
      <c r="Q66" s="147">
        <v>264225456</v>
      </c>
      <c r="R66" s="147">
        <v>331137973</v>
      </c>
      <c r="S66" s="147">
        <v>315026916</v>
      </c>
      <c r="T66" s="147">
        <v>318955610</v>
      </c>
      <c r="U66" s="147">
        <v>291292086</v>
      </c>
      <c r="V66" s="147">
        <v>282317962</v>
      </c>
      <c r="W66" s="147">
        <v>245680161</v>
      </c>
      <c r="X66" s="147">
        <v>245618976</v>
      </c>
    </row>
    <row r="67" spans="2:24" ht="17">
      <c r="B67" s="99"/>
      <c r="C67" s="141" t="s">
        <v>57</v>
      </c>
      <c r="D67" s="141"/>
      <c r="E67" s="149">
        <v>103720541</v>
      </c>
      <c r="F67" s="149">
        <v>105358062</v>
      </c>
      <c r="G67" s="149">
        <v>110226146</v>
      </c>
      <c r="H67" s="149">
        <v>119560611</v>
      </c>
      <c r="I67" s="149">
        <v>133994759</v>
      </c>
      <c r="J67" s="149">
        <v>113656852</v>
      </c>
      <c r="K67" s="149">
        <v>114441591</v>
      </c>
      <c r="L67" s="149">
        <v>128746478</v>
      </c>
      <c r="M67" s="149">
        <v>127835333</v>
      </c>
      <c r="N67" s="149">
        <v>146247696</v>
      </c>
      <c r="O67" s="149">
        <v>168672253</v>
      </c>
      <c r="P67" s="149">
        <v>230162854</v>
      </c>
      <c r="Q67" s="149">
        <v>250091293</v>
      </c>
      <c r="R67" s="149">
        <v>301065894</v>
      </c>
      <c r="S67" s="149">
        <v>302774642</v>
      </c>
      <c r="T67" s="149">
        <v>297028202</v>
      </c>
      <c r="U67" s="149">
        <v>207665586</v>
      </c>
      <c r="V67" s="149">
        <v>189981336</v>
      </c>
      <c r="W67" s="149">
        <v>177768205</v>
      </c>
      <c r="X67" s="149">
        <v>196989102</v>
      </c>
    </row>
    <row r="68" spans="2:24">
      <c r="B68" s="99"/>
      <c r="C68" s="99" t="s">
        <v>56</v>
      </c>
      <c r="D68" s="99"/>
      <c r="E68" s="147">
        <v>594273450</v>
      </c>
      <c r="F68" s="147">
        <v>594273450</v>
      </c>
      <c r="G68" s="147">
        <v>538011927</v>
      </c>
      <c r="H68" s="147">
        <v>517225263</v>
      </c>
      <c r="I68" s="147">
        <v>500512629</v>
      </c>
      <c r="J68" s="147">
        <v>522053973</v>
      </c>
      <c r="K68" s="147">
        <v>513030159</v>
      </c>
      <c r="L68" s="147">
        <v>574144140</v>
      </c>
      <c r="M68" s="154">
        <v>586970262</v>
      </c>
      <c r="N68" s="155">
        <v>621757510</v>
      </c>
      <c r="O68" s="156">
        <v>674472830</v>
      </c>
      <c r="P68" s="147">
        <v>923398879</v>
      </c>
      <c r="Q68" s="147">
        <v>829181216</v>
      </c>
      <c r="R68" s="147">
        <v>1063560677</v>
      </c>
      <c r="S68" s="147">
        <v>1090046489</v>
      </c>
      <c r="T68" s="147">
        <v>1153416013</v>
      </c>
      <c r="U68" s="147">
        <v>1233570955</v>
      </c>
      <c r="V68" s="147">
        <v>1208720799</v>
      </c>
      <c r="W68" s="147">
        <v>1211688737</v>
      </c>
      <c r="X68" s="147">
        <v>1256963375</v>
      </c>
    </row>
    <row r="69" spans="2:24">
      <c r="B69" s="99"/>
      <c r="C69" s="99" t="s">
        <v>55</v>
      </c>
      <c r="D69" s="99"/>
      <c r="E69" s="147">
        <v>285703392</v>
      </c>
      <c r="F69" s="147">
        <v>285703392</v>
      </c>
      <c r="G69" s="147">
        <v>268055446</v>
      </c>
      <c r="H69" s="147">
        <v>270403389</v>
      </c>
      <c r="I69" s="147">
        <v>268393446</v>
      </c>
      <c r="J69" s="147">
        <v>273113216</v>
      </c>
      <c r="K69" s="147">
        <v>267888620</v>
      </c>
      <c r="L69" s="147">
        <v>332373687</v>
      </c>
      <c r="M69" s="154">
        <v>327511247</v>
      </c>
      <c r="N69" s="155">
        <v>349741069</v>
      </c>
      <c r="O69" s="156">
        <v>360028293</v>
      </c>
      <c r="P69" s="147">
        <v>447391043</v>
      </c>
      <c r="Q69" s="147">
        <v>452918665</v>
      </c>
      <c r="R69" s="147">
        <v>536449010</v>
      </c>
      <c r="S69" s="147">
        <v>499387011</v>
      </c>
      <c r="T69" s="147">
        <v>506933368</v>
      </c>
      <c r="U69" s="147">
        <v>538679157</v>
      </c>
      <c r="V69" s="147">
        <v>546951495</v>
      </c>
      <c r="W69" s="147">
        <v>545757657</v>
      </c>
      <c r="X69" s="147">
        <v>571449588</v>
      </c>
    </row>
    <row r="70" spans="2:24" ht="17">
      <c r="B70" s="99">
        <v>12</v>
      </c>
      <c r="C70" s="141" t="s">
        <v>20</v>
      </c>
      <c r="D70" s="141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</row>
    <row r="71" spans="2:24">
      <c r="B71" s="99"/>
      <c r="C71" s="99" t="s">
        <v>58</v>
      </c>
      <c r="D71" s="99"/>
      <c r="E71" s="147">
        <v>366352044</v>
      </c>
      <c r="F71" s="147">
        <v>327690066</v>
      </c>
      <c r="G71" s="147">
        <v>191324526</v>
      </c>
      <c r="H71" s="147">
        <v>209703468</v>
      </c>
      <c r="I71" s="147">
        <v>209325429</v>
      </c>
      <c r="J71" s="147">
        <v>187821679</v>
      </c>
      <c r="K71" s="147">
        <v>167147728</v>
      </c>
      <c r="L71" s="147">
        <v>160199112</v>
      </c>
      <c r="M71" s="147">
        <v>134856927</v>
      </c>
      <c r="N71" s="147">
        <v>153433995</v>
      </c>
      <c r="O71" s="147">
        <v>90570675</v>
      </c>
      <c r="P71" s="147">
        <v>81644827</v>
      </c>
      <c r="Q71" s="147">
        <v>78767555</v>
      </c>
      <c r="R71" s="147">
        <v>75667017</v>
      </c>
      <c r="S71" s="147">
        <v>68576913</v>
      </c>
      <c r="T71" s="147">
        <v>67573227</v>
      </c>
      <c r="U71" s="147">
        <v>66642205</v>
      </c>
      <c r="V71" s="147">
        <v>65799335</v>
      </c>
      <c r="W71" s="147">
        <v>64899978</v>
      </c>
      <c r="X71" s="149">
        <v>64587275</v>
      </c>
    </row>
    <row r="72" spans="2:24">
      <c r="B72" s="99"/>
      <c r="C72" s="99" t="s">
        <v>59</v>
      </c>
      <c r="D72" s="99"/>
      <c r="E72" s="147">
        <v>1464753673</v>
      </c>
      <c r="F72" s="147">
        <v>1041574449</v>
      </c>
      <c r="G72" s="147">
        <v>1048338730</v>
      </c>
      <c r="H72" s="147">
        <v>720977430</v>
      </c>
      <c r="I72" s="147">
        <v>681919240</v>
      </c>
      <c r="J72" s="147">
        <v>655051573</v>
      </c>
      <c r="K72" s="147">
        <v>613747175</v>
      </c>
      <c r="L72" s="147">
        <v>582958840</v>
      </c>
      <c r="M72" s="147">
        <v>113314531</v>
      </c>
      <c r="N72" s="147">
        <v>109946138</v>
      </c>
      <c r="O72" s="147">
        <v>45150712</v>
      </c>
      <c r="P72" s="147">
        <v>12916966</v>
      </c>
      <c r="Q72" s="147">
        <v>10294706</v>
      </c>
      <c r="R72" s="147">
        <v>8895387</v>
      </c>
      <c r="S72" s="147">
        <v>8774477</v>
      </c>
      <c r="T72" s="147">
        <v>10293491</v>
      </c>
      <c r="U72" s="147">
        <v>8577599</v>
      </c>
      <c r="V72" s="147">
        <v>8235258</v>
      </c>
      <c r="W72" s="147">
        <v>8270474</v>
      </c>
      <c r="X72" s="147">
        <v>8534171</v>
      </c>
    </row>
    <row r="73" spans="2:24" ht="17">
      <c r="B73" s="99"/>
      <c r="C73" s="141" t="s">
        <v>57</v>
      </c>
      <c r="D73" s="141"/>
      <c r="E73" s="149">
        <v>38008275</v>
      </c>
      <c r="F73" s="149">
        <v>39176495</v>
      </c>
      <c r="G73" s="149">
        <v>30078561</v>
      </c>
      <c r="H73" s="152">
        <v>26987772</v>
      </c>
      <c r="I73" s="149">
        <v>15782242</v>
      </c>
      <c r="J73" s="149">
        <v>3630495</v>
      </c>
      <c r="K73" s="149">
        <v>1564781</v>
      </c>
      <c r="L73" s="152">
        <v>564116</v>
      </c>
      <c r="M73" s="149">
        <v>2148649</v>
      </c>
      <c r="N73" s="149">
        <v>2856340</v>
      </c>
      <c r="O73" s="149">
        <v>904840</v>
      </c>
      <c r="P73" s="149">
        <v>1353232</v>
      </c>
      <c r="Q73" s="149">
        <v>399028</v>
      </c>
      <c r="R73" s="149">
        <v>732142</v>
      </c>
      <c r="S73" s="149">
        <v>570899</v>
      </c>
      <c r="T73" s="149">
        <v>1246435</v>
      </c>
      <c r="U73" s="149">
        <v>1173382</v>
      </c>
      <c r="V73" s="149">
        <v>1394350</v>
      </c>
      <c r="W73" s="149">
        <v>1025671</v>
      </c>
      <c r="X73" s="149">
        <v>1257300</v>
      </c>
    </row>
    <row r="74" spans="2:24">
      <c r="B74" s="99"/>
      <c r="C74" s="99" t="s">
        <v>56</v>
      </c>
      <c r="D74" s="99"/>
      <c r="E74" s="147">
        <v>1088659806</v>
      </c>
      <c r="F74" s="147">
        <v>984917527</v>
      </c>
      <c r="G74" s="147">
        <v>609476835</v>
      </c>
      <c r="H74" s="147">
        <v>479265331</v>
      </c>
      <c r="I74" s="147">
        <v>415578656</v>
      </c>
      <c r="J74" s="149">
        <v>361632969</v>
      </c>
      <c r="K74" s="147">
        <v>312896486</v>
      </c>
      <c r="L74" s="147">
        <v>243302339</v>
      </c>
      <c r="M74" s="147">
        <v>173854344</v>
      </c>
      <c r="N74" s="147">
        <v>171817971</v>
      </c>
      <c r="O74" s="147">
        <v>104103842</v>
      </c>
      <c r="P74" s="149">
        <v>91040495</v>
      </c>
      <c r="Q74" s="147">
        <v>87210754</v>
      </c>
      <c r="R74" s="147">
        <v>82589572</v>
      </c>
      <c r="S74" s="149">
        <v>74534934</v>
      </c>
      <c r="T74" s="149">
        <v>73091558</v>
      </c>
      <c r="U74" s="147">
        <v>71484820</v>
      </c>
      <c r="V74" s="149">
        <v>70501299</v>
      </c>
      <c r="W74" s="147">
        <v>69350670</v>
      </c>
      <c r="X74" s="149">
        <v>68834522</v>
      </c>
    </row>
    <row r="75" spans="2:24">
      <c r="B75" s="99"/>
      <c r="C75" s="99" t="s">
        <v>55</v>
      </c>
      <c r="D75" s="99"/>
      <c r="E75" s="147">
        <v>1715518054</v>
      </c>
      <c r="F75" s="147">
        <v>1285460073</v>
      </c>
      <c r="G75" s="147">
        <v>1246071749</v>
      </c>
      <c r="H75" s="147">
        <v>933327880</v>
      </c>
      <c r="I75" s="147">
        <v>901719799</v>
      </c>
      <c r="J75" s="149">
        <v>859272624</v>
      </c>
      <c r="K75" s="147">
        <v>819725020</v>
      </c>
      <c r="L75" s="147">
        <v>763628958</v>
      </c>
      <c r="M75" s="147">
        <v>315969163</v>
      </c>
      <c r="N75" s="147">
        <v>313842486</v>
      </c>
      <c r="O75" s="147">
        <v>249431098</v>
      </c>
      <c r="P75" s="149">
        <v>14972234</v>
      </c>
      <c r="Q75" s="147">
        <v>13781867</v>
      </c>
      <c r="R75" s="147">
        <v>12368000</v>
      </c>
      <c r="S75" s="149">
        <v>12254311</v>
      </c>
      <c r="T75" s="149">
        <v>11664497</v>
      </c>
      <c r="U75" s="147">
        <v>11362540</v>
      </c>
      <c r="V75" s="149">
        <v>11120199</v>
      </c>
      <c r="W75" s="147">
        <v>11055415</v>
      </c>
      <c r="X75" s="149">
        <v>11543042</v>
      </c>
    </row>
    <row r="76" spans="2:24" ht="17">
      <c r="B76" s="99">
        <v>13</v>
      </c>
      <c r="C76" s="141" t="s">
        <v>21</v>
      </c>
      <c r="D76" s="141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</row>
    <row r="77" spans="2:24">
      <c r="B77" s="99"/>
      <c r="C77" s="99" t="s">
        <v>58</v>
      </c>
      <c r="D77" s="99"/>
      <c r="E77" s="147">
        <v>518945</v>
      </c>
      <c r="F77" s="147">
        <v>518945</v>
      </c>
      <c r="G77" s="147">
        <v>518945</v>
      </c>
      <c r="H77" s="147">
        <v>518945</v>
      </c>
      <c r="I77" s="147">
        <v>56836</v>
      </c>
      <c r="J77" s="147">
        <v>538184</v>
      </c>
      <c r="K77" s="147">
        <v>375671</v>
      </c>
      <c r="L77" s="147">
        <v>410184</v>
      </c>
      <c r="M77" s="149">
        <v>430544</v>
      </c>
      <c r="N77" s="157">
        <v>781657</v>
      </c>
      <c r="O77" s="149">
        <v>739121</v>
      </c>
      <c r="P77" s="147">
        <v>1138374</v>
      </c>
      <c r="Q77" s="147">
        <v>1457137</v>
      </c>
      <c r="R77" s="147">
        <v>1457137</v>
      </c>
      <c r="S77" s="147">
        <v>1428919</v>
      </c>
      <c r="T77" s="147">
        <v>1779346</v>
      </c>
      <c r="U77" s="147">
        <v>1543683</v>
      </c>
      <c r="V77" s="147">
        <v>1338757</v>
      </c>
      <c r="W77" s="147">
        <v>1579413</v>
      </c>
      <c r="X77" s="147">
        <v>1408633</v>
      </c>
    </row>
    <row r="78" spans="2:24">
      <c r="B78" s="99"/>
      <c r="C78" s="99" t="s">
        <v>59</v>
      </c>
      <c r="D78" s="99"/>
      <c r="E78" s="147">
        <v>982059</v>
      </c>
      <c r="F78" s="147">
        <v>982059</v>
      </c>
      <c r="G78" s="147">
        <v>982059</v>
      </c>
      <c r="H78" s="147">
        <v>982059</v>
      </c>
      <c r="I78" s="147">
        <v>1136606</v>
      </c>
      <c r="J78" s="147">
        <v>844972</v>
      </c>
      <c r="K78" s="147">
        <v>726247</v>
      </c>
      <c r="L78" s="147">
        <v>902798</v>
      </c>
      <c r="M78" s="149">
        <v>994179</v>
      </c>
      <c r="N78" s="157">
        <v>922024</v>
      </c>
      <c r="O78" s="149">
        <v>849864</v>
      </c>
      <c r="P78" s="147">
        <v>997061</v>
      </c>
      <c r="Q78" s="147">
        <v>1009001</v>
      </c>
      <c r="R78" s="147">
        <v>1009001</v>
      </c>
      <c r="S78" s="147">
        <v>585436</v>
      </c>
      <c r="T78" s="147">
        <v>1009798</v>
      </c>
      <c r="U78" s="147">
        <v>666374</v>
      </c>
      <c r="V78" s="147">
        <v>658009</v>
      </c>
      <c r="W78" s="147">
        <v>649225</v>
      </c>
      <c r="X78" s="147">
        <v>635497</v>
      </c>
    </row>
    <row r="79" spans="2:24" ht="17">
      <c r="B79" s="99"/>
      <c r="C79" s="141" t="s">
        <v>57</v>
      </c>
      <c r="D79" s="141"/>
      <c r="E79" s="149">
        <v>608157</v>
      </c>
      <c r="F79" s="149">
        <v>533216</v>
      </c>
      <c r="G79" s="149">
        <v>642745</v>
      </c>
      <c r="H79" s="149">
        <v>728151</v>
      </c>
      <c r="I79" s="149">
        <v>706847</v>
      </c>
      <c r="J79" s="149">
        <v>605536</v>
      </c>
      <c r="K79" s="149">
        <v>629624</v>
      </c>
      <c r="L79" s="149">
        <v>727611</v>
      </c>
      <c r="M79" s="149">
        <v>849084</v>
      </c>
      <c r="N79" s="149">
        <v>686496</v>
      </c>
      <c r="O79" s="149">
        <v>819877</v>
      </c>
      <c r="P79" s="149">
        <v>1014867</v>
      </c>
      <c r="Q79" s="149">
        <v>1167281</v>
      </c>
      <c r="R79" s="149">
        <v>1155571</v>
      </c>
      <c r="S79" s="149">
        <v>1353062</v>
      </c>
      <c r="T79" s="149">
        <v>1202012</v>
      </c>
      <c r="U79" s="149">
        <v>1115743</v>
      </c>
      <c r="V79" s="149">
        <v>989760</v>
      </c>
      <c r="W79" s="149">
        <v>1120258</v>
      </c>
      <c r="X79" s="149">
        <v>1079923</v>
      </c>
    </row>
    <row r="80" spans="2:24">
      <c r="B80" s="99"/>
      <c r="C80" s="99" t="s">
        <v>56</v>
      </c>
      <c r="D80" s="99"/>
      <c r="E80" s="147">
        <v>3266155</v>
      </c>
      <c r="F80" s="147">
        <v>3266155</v>
      </c>
      <c r="G80" s="147">
        <v>3266155</v>
      </c>
      <c r="H80" s="147">
        <v>3266155</v>
      </c>
      <c r="I80" s="147">
        <v>3488787</v>
      </c>
      <c r="J80" s="147">
        <v>3433671</v>
      </c>
      <c r="K80" s="147">
        <v>3374865</v>
      </c>
      <c r="L80" s="147">
        <v>3837040</v>
      </c>
      <c r="M80" s="149">
        <v>4018710</v>
      </c>
      <c r="N80" s="157">
        <v>4059964</v>
      </c>
      <c r="O80" s="149">
        <v>3963536</v>
      </c>
      <c r="P80" s="147">
        <v>4051811</v>
      </c>
      <c r="Q80" s="147">
        <v>4301281</v>
      </c>
      <c r="R80" s="147">
        <v>4301281</v>
      </c>
      <c r="S80" s="147">
        <v>4184596</v>
      </c>
      <c r="T80" s="147">
        <v>4403862</v>
      </c>
      <c r="U80" s="147">
        <v>4239021</v>
      </c>
      <c r="V80" s="147">
        <v>3847359</v>
      </c>
      <c r="W80" s="147">
        <v>3999582</v>
      </c>
      <c r="X80" s="147">
        <v>4068706</v>
      </c>
    </row>
    <row r="81" spans="2:24">
      <c r="B81" s="99"/>
      <c r="C81" s="99" t="s">
        <v>55</v>
      </c>
      <c r="D81" s="99"/>
      <c r="E81" s="147">
        <v>2082998</v>
      </c>
      <c r="F81" s="147">
        <v>2082998</v>
      </c>
      <c r="G81" s="147">
        <v>2082998</v>
      </c>
      <c r="H81" s="147">
        <v>2082998</v>
      </c>
      <c r="I81" s="147">
        <v>2287170</v>
      </c>
      <c r="J81" s="147">
        <v>2215473</v>
      </c>
      <c r="K81" s="147">
        <v>2194058</v>
      </c>
      <c r="L81" s="147">
        <v>2626095</v>
      </c>
      <c r="M81" s="149">
        <v>2758207</v>
      </c>
      <c r="N81" s="157">
        <v>2537860</v>
      </c>
      <c r="O81" s="149">
        <v>2379331</v>
      </c>
      <c r="P81" s="147">
        <v>2509761</v>
      </c>
      <c r="Q81" s="147">
        <v>2427069</v>
      </c>
      <c r="R81" s="147">
        <v>2427069</v>
      </c>
      <c r="S81" s="147">
        <v>1933906</v>
      </c>
      <c r="T81" s="147">
        <v>2178316</v>
      </c>
      <c r="U81" s="147">
        <v>1737601</v>
      </c>
      <c r="V81" s="147">
        <v>1653876</v>
      </c>
      <c r="W81" s="147">
        <v>1563054</v>
      </c>
      <c r="X81" s="147">
        <v>1485662</v>
      </c>
    </row>
    <row r="82" spans="2:24" ht="17">
      <c r="B82" s="99">
        <v>14</v>
      </c>
      <c r="C82" s="141" t="s">
        <v>22</v>
      </c>
      <c r="D82" s="141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</row>
    <row r="83" spans="2:24">
      <c r="B83" s="99"/>
      <c r="C83" s="99" t="s">
        <v>58</v>
      </c>
      <c r="D83" s="99"/>
      <c r="E83" s="147">
        <v>23520460228</v>
      </c>
      <c r="F83" s="147">
        <v>24488635966</v>
      </c>
      <c r="G83" s="147">
        <v>24354715022</v>
      </c>
      <c r="H83" s="147">
        <v>20607998968</v>
      </c>
      <c r="I83" s="147">
        <v>17404745786</v>
      </c>
      <c r="J83" s="147">
        <v>14097482933</v>
      </c>
      <c r="K83" s="147">
        <v>12465552590</v>
      </c>
      <c r="L83" s="147">
        <v>11358991009</v>
      </c>
      <c r="M83" s="149">
        <v>10923562181</v>
      </c>
      <c r="N83" s="149">
        <v>12093336708</v>
      </c>
      <c r="O83" s="149">
        <v>12890245506</v>
      </c>
      <c r="P83" s="147">
        <v>12590158246</v>
      </c>
      <c r="Q83" s="147">
        <v>18979589092</v>
      </c>
      <c r="R83" s="147">
        <v>21324176222</v>
      </c>
      <c r="S83" s="147">
        <v>75094697704</v>
      </c>
      <c r="T83" s="147">
        <v>45931247539</v>
      </c>
      <c r="U83" s="147">
        <v>43688708439</v>
      </c>
      <c r="V83" s="147">
        <v>45710873390</v>
      </c>
      <c r="W83" s="147">
        <v>45187576755</v>
      </c>
      <c r="X83" s="147">
        <v>103549455692</v>
      </c>
    </row>
    <row r="84" spans="2:24">
      <c r="B84" s="99"/>
      <c r="C84" s="99" t="s">
        <v>59</v>
      </c>
      <c r="D84" s="99"/>
      <c r="E84" s="147">
        <v>58272512994</v>
      </c>
      <c r="F84" s="147">
        <v>57828341782</v>
      </c>
      <c r="G84" s="147">
        <v>54615868831</v>
      </c>
      <c r="H84" s="147">
        <v>39953268587</v>
      </c>
      <c r="I84" s="147">
        <v>40997060569</v>
      </c>
      <c r="J84" s="147">
        <v>29217863979</v>
      </c>
      <c r="K84" s="147">
        <v>32208809611</v>
      </c>
      <c r="L84" s="147">
        <v>30824345288</v>
      </c>
      <c r="M84" s="149">
        <v>32985412682</v>
      </c>
      <c r="N84" s="149">
        <v>27202691576</v>
      </c>
      <c r="O84" s="149">
        <v>29805815574</v>
      </c>
      <c r="P84" s="147">
        <v>29778574564</v>
      </c>
      <c r="Q84" s="147">
        <v>22912541742</v>
      </c>
      <c r="R84" s="147">
        <v>20642971666</v>
      </c>
      <c r="S84" s="147">
        <v>23345000720</v>
      </c>
      <c r="T84" s="147">
        <v>29889169581</v>
      </c>
      <c r="U84" s="147">
        <v>31128798580</v>
      </c>
      <c r="V84" s="147">
        <v>33338411453</v>
      </c>
      <c r="W84" s="147">
        <v>34496153059</v>
      </c>
      <c r="X84" s="147">
        <v>35656490790</v>
      </c>
    </row>
    <row r="85" spans="2:24" ht="17">
      <c r="B85" s="99"/>
      <c r="C85" s="141" t="s">
        <v>57</v>
      </c>
      <c r="D85" s="141"/>
      <c r="E85" s="149">
        <v>39567427085</v>
      </c>
      <c r="F85" s="149">
        <v>43908497623</v>
      </c>
      <c r="G85" s="149">
        <v>43993574006</v>
      </c>
      <c r="H85" s="149">
        <v>18703718986</v>
      </c>
      <c r="I85" s="149">
        <v>27213941062</v>
      </c>
      <c r="J85" s="149">
        <v>8759509352</v>
      </c>
      <c r="K85" s="149">
        <v>14205398918</v>
      </c>
      <c r="L85" s="149">
        <v>20335141184</v>
      </c>
      <c r="M85" s="149">
        <v>18692226294</v>
      </c>
      <c r="N85" s="149">
        <v>19885381800</v>
      </c>
      <c r="O85" s="149">
        <v>19528662645</v>
      </c>
      <c r="P85" s="149">
        <v>35328639704</v>
      </c>
      <c r="Q85" s="149">
        <v>33280413412</v>
      </c>
      <c r="R85" s="149">
        <v>43250663030</v>
      </c>
      <c r="S85" s="149">
        <v>46731388135</v>
      </c>
      <c r="T85" s="149">
        <v>60173404646</v>
      </c>
      <c r="U85" s="149">
        <v>54998462602</v>
      </c>
      <c r="V85" s="149">
        <v>68142723505</v>
      </c>
      <c r="W85" s="149">
        <v>67541665754</v>
      </c>
      <c r="X85" s="149">
        <v>76485672246</v>
      </c>
    </row>
    <row r="86" spans="2:24">
      <c r="B86" s="99"/>
      <c r="C86" s="99" t="s">
        <v>56</v>
      </c>
      <c r="D86" s="99"/>
      <c r="E86" s="147">
        <v>328223775258</v>
      </c>
      <c r="F86" s="147">
        <v>325500985535</v>
      </c>
      <c r="G86" s="147">
        <v>316517069429</v>
      </c>
      <c r="H86" s="147">
        <v>269602629189</v>
      </c>
      <c r="I86" s="147">
        <v>254178860961</v>
      </c>
      <c r="J86" s="147">
        <v>237170964683</v>
      </c>
      <c r="K86" s="147">
        <v>231261069041</v>
      </c>
      <c r="L86" s="147">
        <v>220884904490</v>
      </c>
      <c r="M86" s="149">
        <v>217847486480</v>
      </c>
      <c r="N86" s="149">
        <v>213359521791</v>
      </c>
      <c r="O86" s="149">
        <v>206732546453</v>
      </c>
      <c r="P86" s="147">
        <v>222474205879</v>
      </c>
      <c r="Q86" s="147">
        <v>218732954418</v>
      </c>
      <c r="R86" s="147">
        <v>220967901338</v>
      </c>
      <c r="S86" s="147">
        <v>280518560943</v>
      </c>
      <c r="T86" s="147">
        <v>291613017757</v>
      </c>
      <c r="U86" s="147">
        <v>301064481640</v>
      </c>
      <c r="V86" s="147">
        <v>323070321700</v>
      </c>
      <c r="W86" s="147">
        <v>338041651311</v>
      </c>
      <c r="X86" s="147">
        <v>248269463334</v>
      </c>
    </row>
    <row r="87" spans="2:24">
      <c r="B87" s="99"/>
      <c r="C87" s="99" t="s">
        <v>55</v>
      </c>
      <c r="D87" s="99"/>
      <c r="E87" s="147">
        <v>173078374555</v>
      </c>
      <c r="F87" s="147">
        <v>167575648415</v>
      </c>
      <c r="G87" s="147">
        <v>156809951099</v>
      </c>
      <c r="H87" s="147">
        <v>117734528422</v>
      </c>
      <c r="I87" s="147">
        <v>112105093922</v>
      </c>
      <c r="J87" s="147">
        <v>108493612738</v>
      </c>
      <c r="K87" s="147">
        <v>108696060903</v>
      </c>
      <c r="L87" s="147">
        <v>102887883668</v>
      </c>
      <c r="M87" s="149">
        <v>103711269054</v>
      </c>
      <c r="N87" s="149">
        <v>102215155347</v>
      </c>
      <c r="O87" s="149">
        <v>99830165696</v>
      </c>
      <c r="P87" s="147">
        <v>113973603428</v>
      </c>
      <c r="Q87" s="147">
        <v>108714429750</v>
      </c>
      <c r="R87" s="147">
        <v>106442921825</v>
      </c>
      <c r="S87" s="147">
        <v>91896366037</v>
      </c>
      <c r="T87" s="147">
        <v>94883159550</v>
      </c>
      <c r="U87" s="147">
        <v>99177323923</v>
      </c>
      <c r="V87" s="147">
        <v>112501126100</v>
      </c>
      <c r="W87" s="147">
        <v>118984165280</v>
      </c>
      <c r="X87" s="147">
        <v>123678293667</v>
      </c>
    </row>
    <row r="88" spans="2:24" ht="17">
      <c r="B88" s="99">
        <v>15</v>
      </c>
      <c r="C88" s="141" t="s">
        <v>23</v>
      </c>
      <c r="D88" s="141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</row>
    <row r="89" spans="2:24">
      <c r="B89" s="99"/>
      <c r="C89" s="99" t="s">
        <v>58</v>
      </c>
      <c r="D89" s="99"/>
      <c r="E89" s="147">
        <v>96223351510</v>
      </c>
      <c r="F89" s="147">
        <v>96223351510</v>
      </c>
      <c r="G89" s="147">
        <v>96223351510</v>
      </c>
      <c r="H89" s="147">
        <v>83695056368</v>
      </c>
      <c r="I89" s="147">
        <v>39468087741</v>
      </c>
      <c r="J89" s="147">
        <v>22253729814</v>
      </c>
      <c r="K89" s="153">
        <v>108930820117</v>
      </c>
      <c r="L89" s="147">
        <v>147384406503</v>
      </c>
      <c r="M89" s="149">
        <v>157577594436</v>
      </c>
      <c r="N89" s="149">
        <v>175556001495</v>
      </c>
      <c r="O89" s="149">
        <v>108767022800</v>
      </c>
      <c r="P89" s="147">
        <v>107007105513</v>
      </c>
      <c r="Q89" s="147">
        <v>99725822616</v>
      </c>
      <c r="R89" s="147">
        <v>105383221755</v>
      </c>
      <c r="S89" s="147">
        <v>115377384026</v>
      </c>
      <c r="T89" s="147">
        <v>57865831534</v>
      </c>
      <c r="U89" s="147">
        <v>27615629932</v>
      </c>
      <c r="V89" s="147">
        <v>34467308929</v>
      </c>
      <c r="W89" s="147">
        <v>30536790460</v>
      </c>
      <c r="X89" s="147">
        <v>45125618315</v>
      </c>
    </row>
    <row r="90" spans="2:24">
      <c r="B90" s="99"/>
      <c r="C90" s="99" t="s">
        <v>59</v>
      </c>
      <c r="D90" s="99"/>
      <c r="E90" s="147">
        <v>107486819180</v>
      </c>
      <c r="F90" s="147">
        <v>107486819180</v>
      </c>
      <c r="G90" s="147">
        <v>107486819180</v>
      </c>
      <c r="H90" s="147">
        <v>49378265088</v>
      </c>
      <c r="I90" s="147">
        <v>27302873729</v>
      </c>
      <c r="J90" s="147">
        <v>46090340282</v>
      </c>
      <c r="K90" s="153">
        <v>90492009645</v>
      </c>
      <c r="L90" s="147">
        <v>133722885753</v>
      </c>
      <c r="M90" s="149">
        <v>137284687551</v>
      </c>
      <c r="N90" s="149">
        <v>162157579563</v>
      </c>
      <c r="O90" s="149">
        <v>92138814744</v>
      </c>
      <c r="P90" s="147">
        <v>104231114388</v>
      </c>
      <c r="Q90" s="147">
        <v>99954107765</v>
      </c>
      <c r="R90" s="147">
        <v>96549706574</v>
      </c>
      <c r="S90" s="147">
        <v>99543393030</v>
      </c>
      <c r="T90" s="147">
        <v>117564570959</v>
      </c>
      <c r="U90" s="147">
        <v>101558544929</v>
      </c>
      <c r="V90" s="147">
        <v>103041203013</v>
      </c>
      <c r="W90" s="147">
        <v>94596552060</v>
      </c>
      <c r="X90" s="147">
        <v>147237670193</v>
      </c>
    </row>
    <row r="91" spans="2:24" ht="17">
      <c r="B91" s="99"/>
      <c r="C91" s="141" t="s">
        <v>57</v>
      </c>
      <c r="D91" s="141"/>
      <c r="E91" s="149">
        <v>14591710000</v>
      </c>
      <c r="F91" s="149">
        <v>12420666667</v>
      </c>
      <c r="G91" s="149">
        <v>78864928350</v>
      </c>
      <c r="H91" s="149">
        <v>212147197987</v>
      </c>
      <c r="I91" s="149">
        <v>7067270600</v>
      </c>
      <c r="J91" s="149">
        <v>10443240080</v>
      </c>
      <c r="K91" s="149">
        <v>55155276172</v>
      </c>
      <c r="L91" s="149">
        <v>71172650989</v>
      </c>
      <c r="M91" s="149">
        <v>14596837014</v>
      </c>
      <c r="N91" s="149">
        <v>17864678802</v>
      </c>
      <c r="O91" s="149">
        <v>19974276273</v>
      </c>
      <c r="P91" s="149">
        <v>10962850234</v>
      </c>
      <c r="Q91" s="149">
        <v>10279783960</v>
      </c>
      <c r="R91" s="149">
        <v>5248960000</v>
      </c>
      <c r="S91" s="149">
        <v>15033902733</v>
      </c>
      <c r="T91" s="149">
        <v>13995170468</v>
      </c>
      <c r="U91" s="149">
        <v>3675643332</v>
      </c>
      <c r="V91" s="149">
        <v>11091306517</v>
      </c>
      <c r="W91" s="149">
        <v>20273222720</v>
      </c>
      <c r="X91" s="149">
        <v>34041695707</v>
      </c>
    </row>
    <row r="92" spans="2:24">
      <c r="B92" s="99"/>
      <c r="C92" s="99" t="s">
        <v>56</v>
      </c>
      <c r="D92" s="99"/>
      <c r="E92" s="147">
        <v>246040252659</v>
      </c>
      <c r="F92" s="147">
        <v>246040252659</v>
      </c>
      <c r="G92" s="147">
        <v>246040252659</v>
      </c>
      <c r="H92" s="147">
        <v>193198983272</v>
      </c>
      <c r="I92" s="147">
        <v>171454943789</v>
      </c>
      <c r="J92" s="147">
        <v>191277895846</v>
      </c>
      <c r="K92" s="153">
        <v>236625122221</v>
      </c>
      <c r="L92" s="147">
        <v>335775952688</v>
      </c>
      <c r="M92" s="149">
        <v>345414738738</v>
      </c>
      <c r="N92" s="149">
        <v>370032418875</v>
      </c>
      <c r="O92" s="149">
        <v>302472673949</v>
      </c>
      <c r="P92" s="147">
        <v>301477751273</v>
      </c>
      <c r="Q92" s="147">
        <v>297279229584</v>
      </c>
      <c r="R92" s="147">
        <v>293980017081</v>
      </c>
      <c r="S92" s="147">
        <v>298114932374</v>
      </c>
      <c r="T92" s="147">
        <v>226862555471</v>
      </c>
      <c r="U92" s="147">
        <v>197012315499</v>
      </c>
      <c r="V92" s="147">
        <v>201348160354</v>
      </c>
      <c r="W92" s="147">
        <v>192783370990</v>
      </c>
      <c r="X92" s="147">
        <v>204597530054</v>
      </c>
    </row>
    <row r="93" spans="2:24">
      <c r="B93" s="99"/>
      <c r="C93" s="99" t="s">
        <v>55</v>
      </c>
      <c r="D93" s="99"/>
      <c r="E93" s="147">
        <v>134906277650</v>
      </c>
      <c r="F93" s="147">
        <v>134906277650</v>
      </c>
      <c r="G93" s="147">
        <v>134906277650</v>
      </c>
      <c r="H93" s="147">
        <v>67743589307</v>
      </c>
      <c r="I93" s="147">
        <v>45738705443</v>
      </c>
      <c r="J93" s="147">
        <v>65547558466</v>
      </c>
      <c r="K93" s="153">
        <v>108106200899</v>
      </c>
      <c r="L93" s="147">
        <v>203647281067</v>
      </c>
      <c r="M93" s="149">
        <v>207277857877</v>
      </c>
      <c r="N93" s="149">
        <v>232206304106</v>
      </c>
      <c r="O93" s="149">
        <v>162063210058</v>
      </c>
      <c r="P93" s="147">
        <v>160316617953</v>
      </c>
      <c r="Q93" s="147">
        <v>155908921595</v>
      </c>
      <c r="R93" s="147">
        <v>152504520404</v>
      </c>
      <c r="S93" s="147">
        <v>155498206860</v>
      </c>
      <c r="T93" s="147">
        <v>171960549752</v>
      </c>
      <c r="U93" s="147">
        <v>156025333634</v>
      </c>
      <c r="V93" s="147">
        <v>157507991736</v>
      </c>
      <c r="W93" s="147">
        <v>149281739987</v>
      </c>
      <c r="X93" s="147">
        <v>149026095629</v>
      </c>
    </row>
    <row r="94" spans="2:24" ht="17">
      <c r="B94" s="99">
        <v>16</v>
      </c>
      <c r="C94" s="141" t="s">
        <v>24</v>
      </c>
      <c r="D94" s="141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</row>
    <row r="95" spans="2:24">
      <c r="B95" s="99"/>
      <c r="C95" s="99" t="s">
        <v>58</v>
      </c>
      <c r="D95" s="99"/>
      <c r="E95" s="147">
        <v>13051403864</v>
      </c>
      <c r="F95" s="147">
        <v>13051403864</v>
      </c>
      <c r="G95" s="147">
        <v>13051403864</v>
      </c>
      <c r="H95" s="147">
        <v>16320043246</v>
      </c>
      <c r="I95" s="147">
        <v>14635035085</v>
      </c>
      <c r="J95" s="147">
        <v>9951705195</v>
      </c>
      <c r="K95" s="147">
        <v>11709321741</v>
      </c>
      <c r="L95" s="147">
        <v>10950372543</v>
      </c>
      <c r="M95" s="149">
        <v>9914598913</v>
      </c>
      <c r="N95" s="149">
        <v>7907588595</v>
      </c>
      <c r="O95" s="149">
        <v>9533863265</v>
      </c>
      <c r="P95" s="147">
        <v>7315713528</v>
      </c>
      <c r="Q95" s="147">
        <v>8289231135</v>
      </c>
      <c r="R95" s="147">
        <v>7274941444</v>
      </c>
      <c r="S95" s="147">
        <v>9329296573</v>
      </c>
      <c r="T95" s="147">
        <v>8509512704</v>
      </c>
      <c r="U95" s="147">
        <v>9193342256</v>
      </c>
      <c r="V95" s="147">
        <v>10200478628</v>
      </c>
      <c r="W95" s="147">
        <v>10416064151</v>
      </c>
      <c r="X95" s="147">
        <v>9705102526</v>
      </c>
    </row>
    <row r="96" spans="2:24">
      <c r="B96" s="99"/>
      <c r="C96" s="99" t="s">
        <v>59</v>
      </c>
      <c r="D96" s="99"/>
      <c r="E96" s="147">
        <v>15077773094</v>
      </c>
      <c r="F96" s="147">
        <v>15077773094</v>
      </c>
      <c r="G96" s="147">
        <v>15077773094</v>
      </c>
      <c r="H96" s="147">
        <v>14420323854</v>
      </c>
      <c r="I96" s="147">
        <v>19053276134</v>
      </c>
      <c r="J96" s="147">
        <v>16759237809</v>
      </c>
      <c r="K96" s="147">
        <v>16715489387</v>
      </c>
      <c r="L96" s="147">
        <v>16591014668</v>
      </c>
      <c r="M96" s="149">
        <v>16838976222</v>
      </c>
      <c r="N96" s="149">
        <v>14771204885</v>
      </c>
      <c r="O96" s="149">
        <v>13042521284</v>
      </c>
      <c r="P96" s="147">
        <v>11305872300</v>
      </c>
      <c r="Q96" s="147">
        <v>11100908798</v>
      </c>
      <c r="R96" s="147">
        <v>10692067039</v>
      </c>
      <c r="S96" s="147">
        <v>10435776008</v>
      </c>
      <c r="T96" s="147">
        <v>1032178898</v>
      </c>
      <c r="U96" s="147">
        <v>10510882199</v>
      </c>
      <c r="V96" s="147">
        <v>10579687705</v>
      </c>
      <c r="W96" s="147">
        <v>9312696471</v>
      </c>
      <c r="X96" s="147">
        <v>8318044368</v>
      </c>
    </row>
    <row r="97" spans="2:24" ht="17">
      <c r="B97" s="99"/>
      <c r="C97" s="141" t="s">
        <v>57</v>
      </c>
      <c r="D97" s="141"/>
      <c r="E97" s="149">
        <v>9844734790</v>
      </c>
      <c r="F97" s="149">
        <v>10315538624</v>
      </c>
      <c r="G97" s="149">
        <v>12837288726</v>
      </c>
      <c r="H97" s="149">
        <v>16807453516</v>
      </c>
      <c r="I97" s="149">
        <v>12016224755</v>
      </c>
      <c r="J97" s="149">
        <v>6174910219</v>
      </c>
      <c r="K97" s="149">
        <v>12427632654</v>
      </c>
      <c r="L97" s="149">
        <v>12221038334</v>
      </c>
      <c r="M97" s="149">
        <v>11083476289</v>
      </c>
      <c r="N97" s="149">
        <v>8830097220</v>
      </c>
      <c r="O97" s="149">
        <v>10166015374</v>
      </c>
      <c r="P97" s="149">
        <v>9526633765</v>
      </c>
      <c r="Q97" s="149">
        <v>10087170243</v>
      </c>
      <c r="R97" s="149">
        <v>8435028214</v>
      </c>
      <c r="S97" s="149">
        <v>9967232742</v>
      </c>
      <c r="T97" s="149">
        <v>10326395394</v>
      </c>
      <c r="U97" s="149">
        <v>10485674585</v>
      </c>
      <c r="V97" s="149">
        <v>10064533039</v>
      </c>
      <c r="W97" s="149">
        <v>12775536871</v>
      </c>
      <c r="X97" s="149">
        <v>10048296542</v>
      </c>
    </row>
    <row r="98" spans="2:24">
      <c r="B98" s="99"/>
      <c r="C98" s="99" t="s">
        <v>56</v>
      </c>
      <c r="D98" s="99"/>
      <c r="E98" s="147">
        <v>96581854206</v>
      </c>
      <c r="F98" s="147">
        <v>96581854206</v>
      </c>
      <c r="G98" s="147">
        <v>96581854206</v>
      </c>
      <c r="H98" s="147">
        <v>98890963872</v>
      </c>
      <c r="I98" s="147">
        <v>95411027136</v>
      </c>
      <c r="J98" s="147">
        <v>88924840547</v>
      </c>
      <c r="K98" s="147">
        <v>88325264385</v>
      </c>
      <c r="L98" s="147">
        <v>86141743970</v>
      </c>
      <c r="M98" s="149">
        <v>86267915779</v>
      </c>
      <c r="N98" s="149">
        <v>82509772886</v>
      </c>
      <c r="O98" s="149">
        <v>81078237927</v>
      </c>
      <c r="P98" s="147">
        <v>76740944634</v>
      </c>
      <c r="Q98" s="147">
        <v>75468575800</v>
      </c>
      <c r="R98" s="147">
        <v>73520941782</v>
      </c>
      <c r="S98" s="147">
        <v>72663096015</v>
      </c>
      <c r="T98" s="147">
        <v>70849504985</v>
      </c>
      <c r="U98" s="147">
        <v>69852278892</v>
      </c>
      <c r="V98" s="147">
        <v>69220076671</v>
      </c>
      <c r="W98" s="147">
        <v>67984024360</v>
      </c>
      <c r="X98" s="147">
        <v>65403191775</v>
      </c>
    </row>
    <row r="99" spans="2:24">
      <c r="B99" s="99"/>
      <c r="C99" s="99" t="s">
        <v>55</v>
      </c>
      <c r="D99" s="99"/>
      <c r="E99" s="147">
        <v>25613979359</v>
      </c>
      <c r="F99" s="147">
        <v>25613979359</v>
      </c>
      <c r="G99" s="147">
        <v>25613979359</v>
      </c>
      <c r="H99" s="147">
        <v>25916237978</v>
      </c>
      <c r="I99" s="147">
        <v>24658817089</v>
      </c>
      <c r="J99" s="147">
        <v>22770716001</v>
      </c>
      <c r="K99" s="147">
        <v>23023700314</v>
      </c>
      <c r="L99" s="147">
        <v>22650488908</v>
      </c>
      <c r="M99" s="149">
        <v>23696811506</v>
      </c>
      <c r="N99" s="149">
        <v>21950963136</v>
      </c>
      <c r="O99" s="149">
        <v>20566178759</v>
      </c>
      <c r="P99" s="147">
        <v>18063690866</v>
      </c>
      <c r="Q99" s="147">
        <v>17058626876</v>
      </c>
      <c r="R99" s="147">
        <v>16702698740</v>
      </c>
      <c r="S99" s="147">
        <v>16490574979</v>
      </c>
      <c r="T99" s="147">
        <v>16416167347</v>
      </c>
      <c r="U99" s="147">
        <v>16485846316</v>
      </c>
      <c r="V99" s="147">
        <v>16503664701</v>
      </c>
      <c r="W99" s="147">
        <v>15347896937</v>
      </c>
      <c r="X99" s="147">
        <v>14279894662</v>
      </c>
    </row>
    <row r="100" spans="2:24" ht="17">
      <c r="B100" s="99">
        <v>17</v>
      </c>
      <c r="C100" s="141" t="s">
        <v>25</v>
      </c>
      <c r="D100" s="141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</row>
    <row r="101" spans="2:24">
      <c r="B101" s="99"/>
      <c r="C101" s="99" t="s">
        <v>58</v>
      </c>
      <c r="D101" s="99"/>
      <c r="E101" s="147">
        <v>45430225694</v>
      </c>
      <c r="F101" s="147">
        <v>45430225694</v>
      </c>
      <c r="G101" s="147">
        <v>44759501098</v>
      </c>
      <c r="H101" s="147">
        <v>47648161769</v>
      </c>
      <c r="I101" s="147">
        <v>49187170172</v>
      </c>
      <c r="J101" s="147">
        <v>26560064724</v>
      </c>
      <c r="K101" s="147">
        <v>23516013492</v>
      </c>
      <c r="L101" s="147">
        <v>18403211935</v>
      </c>
      <c r="M101" s="149">
        <v>18994997032</v>
      </c>
      <c r="N101" s="149">
        <v>19433955370</v>
      </c>
      <c r="O101" s="149">
        <v>19867106131</v>
      </c>
      <c r="P101" s="147">
        <v>21794024947</v>
      </c>
      <c r="Q101" s="147">
        <v>20143491140</v>
      </c>
      <c r="R101" s="147">
        <v>21368395127</v>
      </c>
      <c r="S101" s="147">
        <v>19711771606</v>
      </c>
      <c r="T101" s="147">
        <v>24378905660</v>
      </c>
      <c r="U101" s="147">
        <v>25557372743</v>
      </c>
      <c r="V101" s="147">
        <v>22776214840</v>
      </c>
      <c r="W101" s="147">
        <v>31063258313</v>
      </c>
      <c r="X101" s="147">
        <v>23125496941</v>
      </c>
    </row>
    <row r="102" spans="2:24">
      <c r="B102" s="99"/>
      <c r="C102" s="99" t="s">
        <v>59</v>
      </c>
      <c r="D102" s="99"/>
      <c r="E102" s="147">
        <v>4632022818</v>
      </c>
      <c r="F102" s="147">
        <v>4632022818</v>
      </c>
      <c r="G102" s="147">
        <v>3433927784</v>
      </c>
      <c r="H102" s="147">
        <v>4064900863</v>
      </c>
      <c r="I102" s="147">
        <v>3938154545</v>
      </c>
      <c r="J102" s="147">
        <v>6370345119</v>
      </c>
      <c r="K102" s="147">
        <v>4971972683</v>
      </c>
      <c r="L102" s="147">
        <v>4521806377</v>
      </c>
      <c r="M102" s="149">
        <v>4341419755</v>
      </c>
      <c r="N102" s="149">
        <v>4956610465</v>
      </c>
      <c r="O102" s="149">
        <v>4384809846</v>
      </c>
      <c r="P102" s="147">
        <v>7129662654</v>
      </c>
      <c r="Q102" s="147">
        <v>5058687745</v>
      </c>
      <c r="R102" s="147">
        <v>6427066337</v>
      </c>
      <c r="S102" s="147">
        <v>3499412872</v>
      </c>
      <c r="T102" s="147">
        <v>8972306915</v>
      </c>
      <c r="U102" s="147">
        <v>7323521856</v>
      </c>
      <c r="V102" s="147">
        <v>5306170644</v>
      </c>
      <c r="W102" s="147">
        <v>8870914328</v>
      </c>
      <c r="X102" s="147">
        <v>8353426429</v>
      </c>
    </row>
    <row r="103" spans="2:24" ht="17">
      <c r="B103" s="99"/>
      <c r="C103" s="141" t="s">
        <v>57</v>
      </c>
      <c r="D103" s="141"/>
      <c r="E103" s="149">
        <v>18116840912</v>
      </c>
      <c r="F103" s="149">
        <v>18438119284</v>
      </c>
      <c r="G103" s="149">
        <v>18882691093</v>
      </c>
      <c r="H103" s="149">
        <v>20185054467</v>
      </c>
      <c r="I103" s="149">
        <v>19740075407</v>
      </c>
      <c r="J103" s="149">
        <v>14450561866</v>
      </c>
      <c r="K103" s="149">
        <v>17830552335</v>
      </c>
      <c r="L103" s="149">
        <v>16799822315</v>
      </c>
      <c r="M103" s="149">
        <v>17141162742</v>
      </c>
      <c r="N103" s="149">
        <v>19332828888</v>
      </c>
      <c r="O103" s="149">
        <v>18817379287</v>
      </c>
      <c r="P103" s="149">
        <v>21071873477</v>
      </c>
      <c r="Q103" s="149">
        <v>17288304619</v>
      </c>
      <c r="R103" s="149">
        <v>17285687011</v>
      </c>
      <c r="S103" s="149">
        <v>16282146533</v>
      </c>
      <c r="T103" s="149">
        <v>22227646389</v>
      </c>
      <c r="U103" s="149">
        <v>18335870553</v>
      </c>
      <c r="V103" s="149">
        <v>13971281765</v>
      </c>
      <c r="W103" s="149">
        <v>21790719738</v>
      </c>
      <c r="X103" s="149">
        <v>13815117503</v>
      </c>
    </row>
    <row r="104" spans="2:24">
      <c r="B104" s="99"/>
      <c r="C104" s="99" t="s">
        <v>56</v>
      </c>
      <c r="D104" s="99"/>
      <c r="E104" s="147">
        <v>48760220153</v>
      </c>
      <c r="F104" s="147">
        <v>48760220153</v>
      </c>
      <c r="G104" s="147">
        <v>47906184902</v>
      </c>
      <c r="H104" s="147">
        <v>50990872393</v>
      </c>
      <c r="I104" s="147">
        <v>52583624519</v>
      </c>
      <c r="J104" s="147">
        <v>55505243701</v>
      </c>
      <c r="K104" s="147">
        <v>52532385369</v>
      </c>
      <c r="L104" s="147">
        <v>48076063779</v>
      </c>
      <c r="M104" s="149">
        <v>48718397286</v>
      </c>
      <c r="N104" s="149">
        <v>49224000139</v>
      </c>
      <c r="O104" s="149">
        <v>51532871918</v>
      </c>
      <c r="P104" s="147">
        <v>52442481062</v>
      </c>
      <c r="Q104" s="147">
        <v>51225733399</v>
      </c>
      <c r="R104" s="147">
        <v>52264915118</v>
      </c>
      <c r="S104" s="147">
        <v>49931349986</v>
      </c>
      <c r="T104" s="147">
        <v>53952185301</v>
      </c>
      <c r="U104" s="147">
        <v>54797891604</v>
      </c>
      <c r="V104" s="147">
        <v>52078326019</v>
      </c>
      <c r="W104" s="147">
        <v>60207877309</v>
      </c>
      <c r="X104" s="147">
        <v>53083934525</v>
      </c>
    </row>
    <row r="105" spans="2:24">
      <c r="B105" s="99"/>
      <c r="C105" s="99" t="s">
        <v>55</v>
      </c>
      <c r="D105" s="99"/>
      <c r="E105" s="147">
        <v>8183791013</v>
      </c>
      <c r="F105" s="147">
        <v>8183791013</v>
      </c>
      <c r="G105" s="147">
        <v>6843566255</v>
      </c>
      <c r="H105" s="147">
        <v>8786058436</v>
      </c>
      <c r="I105" s="147">
        <v>10028904245</v>
      </c>
      <c r="J105" s="147">
        <v>13034055819</v>
      </c>
      <c r="K105" s="147">
        <v>9870518680</v>
      </c>
      <c r="L105" s="147">
        <v>8136093754</v>
      </c>
      <c r="M105" s="149">
        <v>8069505108</v>
      </c>
      <c r="N105" s="149">
        <v>8796853624</v>
      </c>
      <c r="O105" s="149">
        <v>9335044138</v>
      </c>
      <c r="P105" s="147">
        <v>11300029291</v>
      </c>
      <c r="Q105" s="147">
        <v>9187399344</v>
      </c>
      <c r="R105" s="147">
        <v>10701868989</v>
      </c>
      <c r="S105" s="147">
        <v>7856841586</v>
      </c>
      <c r="T105" s="147">
        <v>10663898878</v>
      </c>
      <c r="U105" s="147">
        <v>8988232382</v>
      </c>
      <c r="V105" s="147">
        <v>6955881170</v>
      </c>
      <c r="W105" s="147">
        <v>10481329048</v>
      </c>
      <c r="X105" s="147">
        <v>9534610329</v>
      </c>
    </row>
    <row r="106" spans="2:24" ht="17">
      <c r="B106" s="99">
        <v>18</v>
      </c>
      <c r="C106" s="141" t="s">
        <v>26</v>
      </c>
      <c r="D106" s="141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</row>
    <row r="107" spans="2:24">
      <c r="B107" s="99"/>
      <c r="C107" s="99" t="s">
        <v>58</v>
      </c>
      <c r="D107" s="99"/>
      <c r="E107" s="147">
        <v>43393627439</v>
      </c>
      <c r="F107" s="147">
        <v>58967533338</v>
      </c>
      <c r="G107" s="147">
        <v>43377731234</v>
      </c>
      <c r="H107" s="147">
        <v>40277548078</v>
      </c>
      <c r="I107" s="147">
        <v>47303069746</v>
      </c>
      <c r="J107" s="147">
        <v>47912313762</v>
      </c>
      <c r="K107" s="147">
        <v>55036941479</v>
      </c>
      <c r="L107" s="147">
        <v>32947871930</v>
      </c>
      <c r="M107" s="149">
        <v>41773838184</v>
      </c>
      <c r="N107" s="149">
        <v>55879127876</v>
      </c>
      <c r="O107" s="149">
        <v>49153237162</v>
      </c>
      <c r="P107" s="147">
        <v>51176784882</v>
      </c>
      <c r="Q107" s="147">
        <v>89876969944</v>
      </c>
      <c r="R107" s="147">
        <v>66651773229</v>
      </c>
      <c r="S107" s="147">
        <v>81256676938</v>
      </c>
      <c r="T107" s="147">
        <v>93436162188</v>
      </c>
      <c r="U107" s="147">
        <v>231500910166</v>
      </c>
      <c r="V107" s="147">
        <v>191366185115</v>
      </c>
      <c r="W107" s="147">
        <v>200865379690</v>
      </c>
      <c r="X107" s="147">
        <v>211719868122</v>
      </c>
    </row>
    <row r="108" spans="2:24">
      <c r="B108" s="99"/>
      <c r="C108" s="99" t="s">
        <v>59</v>
      </c>
      <c r="D108" s="99"/>
      <c r="E108" s="147">
        <v>147667984162</v>
      </c>
      <c r="F108" s="147">
        <v>162374888273</v>
      </c>
      <c r="G108" s="147">
        <v>157322308821</v>
      </c>
      <c r="H108" s="147">
        <v>165747918407</v>
      </c>
      <c r="I108" s="147">
        <v>171399489968</v>
      </c>
      <c r="J108" s="147">
        <v>148263450691</v>
      </c>
      <c r="K108" s="147">
        <v>151208968738</v>
      </c>
      <c r="L108" s="147">
        <v>150765896036</v>
      </c>
      <c r="M108" s="149">
        <v>112199842695</v>
      </c>
      <c r="N108" s="149">
        <v>139077755438</v>
      </c>
      <c r="O108" s="149">
        <v>139207562872</v>
      </c>
      <c r="P108" s="147">
        <v>159848739818</v>
      </c>
      <c r="Q108" s="147">
        <v>158526253615</v>
      </c>
      <c r="R108" s="147">
        <v>169324543885</v>
      </c>
      <c r="S108" s="147">
        <v>195147333143</v>
      </c>
      <c r="T108" s="147">
        <v>239880153930</v>
      </c>
      <c r="U108" s="147">
        <v>216667685716</v>
      </c>
      <c r="V108" s="147">
        <v>195903838563</v>
      </c>
      <c r="W108" s="147">
        <v>219122102168</v>
      </c>
      <c r="X108" s="147">
        <v>314744991723</v>
      </c>
    </row>
    <row r="109" spans="2:24" ht="17">
      <c r="B109" s="99"/>
      <c r="C109" s="141" t="s">
        <v>57</v>
      </c>
      <c r="D109" s="141"/>
      <c r="E109" s="149">
        <v>40706030096</v>
      </c>
      <c r="F109" s="149">
        <v>40201006277</v>
      </c>
      <c r="G109" s="149">
        <v>40147834828</v>
      </c>
      <c r="H109" s="149">
        <v>41541292570</v>
      </c>
      <c r="I109" s="149">
        <v>41695721556</v>
      </c>
      <c r="J109" s="149">
        <v>39401078623</v>
      </c>
      <c r="K109" s="149">
        <v>38629216625</v>
      </c>
      <c r="L109" s="149">
        <v>42531348645</v>
      </c>
      <c r="M109" s="149">
        <v>45453841836</v>
      </c>
      <c r="N109" s="149">
        <v>48503887012</v>
      </c>
      <c r="O109" s="149">
        <v>54817542473</v>
      </c>
      <c r="P109" s="149">
        <v>63267168010</v>
      </c>
      <c r="Q109" s="149">
        <v>71108494429</v>
      </c>
      <c r="R109" s="149">
        <v>78698717681</v>
      </c>
      <c r="S109" s="149">
        <v>89416282645</v>
      </c>
      <c r="T109" s="149">
        <v>94686443321</v>
      </c>
      <c r="U109" s="149">
        <v>108508797012</v>
      </c>
      <c r="V109" s="149">
        <v>105961448445</v>
      </c>
      <c r="W109" s="149">
        <v>111665414159</v>
      </c>
      <c r="X109" s="149">
        <v>115325745868</v>
      </c>
    </row>
    <row r="110" spans="2:24">
      <c r="B110" s="99"/>
      <c r="C110" s="99" t="s">
        <v>56</v>
      </c>
      <c r="D110" s="99"/>
      <c r="E110" s="147">
        <v>527283174461</v>
      </c>
      <c r="F110" s="147">
        <v>534718173088</v>
      </c>
      <c r="G110" s="147">
        <v>622111764875</v>
      </c>
      <c r="H110" s="147">
        <v>536133980207</v>
      </c>
      <c r="I110" s="147">
        <v>533203128947</v>
      </c>
      <c r="J110" s="147">
        <v>517981219736</v>
      </c>
      <c r="K110" s="147">
        <v>508609234931</v>
      </c>
      <c r="L110" s="147">
        <v>536303219831</v>
      </c>
      <c r="M110" s="149">
        <v>565012347236</v>
      </c>
      <c r="N110" s="149">
        <v>645696570142</v>
      </c>
      <c r="O110" s="149">
        <v>678064218843</v>
      </c>
      <c r="P110" s="147">
        <v>816739145113</v>
      </c>
      <c r="Q110" s="147">
        <v>914964303008</v>
      </c>
      <c r="R110" s="147">
        <v>1004420330078</v>
      </c>
      <c r="S110" s="147">
        <v>1126853145329</v>
      </c>
      <c r="T110" s="147">
        <v>1243695808964</v>
      </c>
      <c r="U110" s="147">
        <v>1415823032189</v>
      </c>
      <c r="V110" s="147">
        <v>1388266493081</v>
      </c>
      <c r="W110" s="147">
        <v>1399214294163</v>
      </c>
      <c r="X110" s="147">
        <v>1528539670473</v>
      </c>
    </row>
    <row r="111" spans="2:24">
      <c r="B111" s="99"/>
      <c r="C111" s="99" t="s">
        <v>55</v>
      </c>
      <c r="D111" s="99"/>
      <c r="E111" s="147">
        <v>325677737928</v>
      </c>
      <c r="F111" s="147">
        <v>322400791301</v>
      </c>
      <c r="G111" s="147">
        <v>308372168328</v>
      </c>
      <c r="H111" s="147">
        <v>317641249208</v>
      </c>
      <c r="I111" s="147">
        <v>312498633644</v>
      </c>
      <c r="J111" s="147">
        <v>296823303340</v>
      </c>
      <c r="K111" s="147">
        <v>287997843423</v>
      </c>
      <c r="L111" s="147">
        <v>311837466207</v>
      </c>
      <c r="M111" s="149">
        <v>336565484836</v>
      </c>
      <c r="N111" s="149">
        <v>413883011792</v>
      </c>
      <c r="O111" s="149">
        <v>444730616440</v>
      </c>
      <c r="P111" s="147">
        <v>572021955910</v>
      </c>
      <c r="Q111" s="147">
        <v>664903404057</v>
      </c>
      <c r="R111" s="147">
        <v>746313144560</v>
      </c>
      <c r="S111" s="147">
        <v>860314536392</v>
      </c>
      <c r="T111" s="147">
        <v>976752484348</v>
      </c>
      <c r="U111" s="147">
        <v>936466841143</v>
      </c>
      <c r="V111" s="147">
        <v>898133933633</v>
      </c>
      <c r="W111" s="147">
        <v>897346227007</v>
      </c>
      <c r="X111" s="147">
        <v>1027609201943</v>
      </c>
    </row>
    <row r="112" spans="2:24" ht="17">
      <c r="B112" s="99">
        <v>19</v>
      </c>
      <c r="C112" s="141" t="s">
        <v>27</v>
      </c>
      <c r="D112" s="141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</row>
    <row r="113" spans="2:24">
      <c r="B113" s="99"/>
      <c r="C113" s="99" t="s">
        <v>58</v>
      </c>
      <c r="D113" s="99"/>
      <c r="E113" s="147">
        <v>83399009646</v>
      </c>
      <c r="F113" s="147">
        <v>87990883391</v>
      </c>
      <c r="G113" s="147">
        <v>95854686237</v>
      </c>
      <c r="H113" s="147">
        <v>123087747765</v>
      </c>
      <c r="I113" s="147">
        <v>138591892103</v>
      </c>
      <c r="J113" s="147">
        <v>156636901142</v>
      </c>
      <c r="K113" s="147">
        <v>160533231604</v>
      </c>
      <c r="L113" s="147">
        <v>167091764767</v>
      </c>
      <c r="M113" s="149">
        <v>187529792220</v>
      </c>
      <c r="N113" s="149">
        <v>184290411243</v>
      </c>
      <c r="O113" s="149">
        <v>194783648398</v>
      </c>
      <c r="P113" s="147">
        <v>189616124655</v>
      </c>
      <c r="Q113" s="147">
        <v>187752812708</v>
      </c>
      <c r="R113" s="147">
        <v>187752812708</v>
      </c>
      <c r="S113" s="147">
        <v>199155304457</v>
      </c>
      <c r="T113" s="147">
        <v>177602568021</v>
      </c>
      <c r="U113" s="147">
        <v>186730369142</v>
      </c>
      <c r="V113" s="147">
        <v>204818590300</v>
      </c>
      <c r="W113" s="147">
        <v>225607893702</v>
      </c>
      <c r="X113" s="147">
        <v>246969359016</v>
      </c>
    </row>
    <row r="114" spans="2:24">
      <c r="B114" s="99"/>
      <c r="C114" s="99" t="s">
        <v>59</v>
      </c>
      <c r="D114" s="99"/>
      <c r="E114" s="147">
        <v>29064037002</v>
      </c>
      <c r="F114" s="147">
        <v>15530532550</v>
      </c>
      <c r="G114" s="147">
        <v>17653708233</v>
      </c>
      <c r="H114" s="147">
        <v>31755734984</v>
      </c>
      <c r="I114" s="147">
        <v>41377822286</v>
      </c>
      <c r="J114" s="147">
        <v>51880612082</v>
      </c>
      <c r="K114" s="147">
        <v>50651498609</v>
      </c>
      <c r="L114" s="147">
        <v>58399139946</v>
      </c>
      <c r="M114" s="149">
        <v>69610135454</v>
      </c>
      <c r="N114" s="149">
        <v>69850473769</v>
      </c>
      <c r="O114" s="149">
        <v>62447473406</v>
      </c>
      <c r="P114" s="147">
        <v>61866044671</v>
      </c>
      <c r="Q114" s="147">
        <v>57995797836</v>
      </c>
      <c r="R114" s="147">
        <v>57995797836</v>
      </c>
      <c r="S114" s="147">
        <v>65504841303</v>
      </c>
      <c r="T114" s="147">
        <v>68300531644</v>
      </c>
      <c r="U114" s="147">
        <v>74582475223</v>
      </c>
      <c r="V114" s="147">
        <v>87990339397</v>
      </c>
      <c r="W114" s="147">
        <v>110485103624</v>
      </c>
      <c r="X114" s="147">
        <v>139351542784</v>
      </c>
    </row>
    <row r="115" spans="2:24" ht="17">
      <c r="B115" s="99"/>
      <c r="C115" s="141" t="s">
        <v>57</v>
      </c>
      <c r="D115" s="141"/>
      <c r="E115" s="149">
        <v>84085001779</v>
      </c>
      <c r="F115" s="149">
        <v>94972633047</v>
      </c>
      <c r="G115" s="149">
        <v>95852992230</v>
      </c>
      <c r="H115" s="149">
        <v>119855313533</v>
      </c>
      <c r="I115" s="149">
        <v>108634906413</v>
      </c>
      <c r="J115" s="149">
        <v>109677548931</v>
      </c>
      <c r="K115" s="149">
        <v>111611395221</v>
      </c>
      <c r="L115" s="149">
        <v>121676039279</v>
      </c>
      <c r="M115" s="149">
        <v>129844232627</v>
      </c>
      <c r="N115" s="149">
        <v>141553137417</v>
      </c>
      <c r="O115" s="149">
        <v>157946699975</v>
      </c>
      <c r="P115" s="149">
        <v>160065679559</v>
      </c>
      <c r="Q115" s="149">
        <v>150429476615</v>
      </c>
      <c r="R115" s="149">
        <v>144261080710</v>
      </c>
      <c r="S115" s="149">
        <v>155355485067</v>
      </c>
      <c r="T115" s="149">
        <v>141856760753</v>
      </c>
      <c r="U115" s="149">
        <v>145226272276</v>
      </c>
      <c r="V115" s="149">
        <v>146700743313</v>
      </c>
      <c r="W115" s="149">
        <v>156978302160</v>
      </c>
      <c r="X115" s="149">
        <v>173276263321</v>
      </c>
    </row>
    <row r="116" spans="2:24">
      <c r="B116" s="99"/>
      <c r="C116" s="99" t="s">
        <v>56</v>
      </c>
      <c r="D116" s="99"/>
      <c r="E116" s="147">
        <v>111292540585</v>
      </c>
      <c r="F116" s="147">
        <v>112364400249</v>
      </c>
      <c r="G116" s="147">
        <v>119571969191</v>
      </c>
      <c r="H116" s="147">
        <v>157166234017</v>
      </c>
      <c r="I116" s="147">
        <v>177850421441</v>
      </c>
      <c r="J116" s="147">
        <v>200042304746</v>
      </c>
      <c r="K116" s="147">
        <v>205376739446</v>
      </c>
      <c r="L116" s="147">
        <v>210419761255</v>
      </c>
      <c r="M116" s="149">
        <v>229368153924</v>
      </c>
      <c r="N116" s="149">
        <v>229816022387</v>
      </c>
      <c r="O116" s="149">
        <v>240723526074</v>
      </c>
      <c r="P116" s="147">
        <v>250767550139</v>
      </c>
      <c r="Q116" s="147">
        <v>256102459393</v>
      </c>
      <c r="R116" s="147">
        <v>256102459393</v>
      </c>
      <c r="S116" s="147">
        <v>268406633465</v>
      </c>
      <c r="T116" s="147">
        <v>249813321201</v>
      </c>
      <c r="U116" s="147">
        <v>255757216528</v>
      </c>
      <c r="V116" s="147">
        <v>269989961652</v>
      </c>
      <c r="W116" s="147">
        <v>295623751968</v>
      </c>
      <c r="X116" s="147">
        <v>324161212877</v>
      </c>
    </row>
    <row r="117" spans="2:24">
      <c r="B117" s="99"/>
      <c r="C117" s="99" t="s">
        <v>55</v>
      </c>
      <c r="D117" s="99"/>
      <c r="E117" s="147">
        <v>40459778411</v>
      </c>
      <c r="F117" s="147">
        <v>32701657877</v>
      </c>
      <c r="G117" s="147">
        <v>34824826660</v>
      </c>
      <c r="H117" s="147">
        <v>50346447863</v>
      </c>
      <c r="I117" s="147">
        <v>59968535165</v>
      </c>
      <c r="J117" s="147">
        <v>75471324961</v>
      </c>
      <c r="K117" s="147">
        <v>72976694704</v>
      </c>
      <c r="L117" s="147">
        <v>72437684992</v>
      </c>
      <c r="M117" s="149">
        <v>83648680500</v>
      </c>
      <c r="N117" s="149">
        <v>89522656384</v>
      </c>
      <c r="O117" s="149">
        <v>86085502774</v>
      </c>
      <c r="P117" s="147">
        <v>82857759922</v>
      </c>
      <c r="Q117" s="147">
        <v>79655572617</v>
      </c>
      <c r="R117" s="147">
        <v>79655572617</v>
      </c>
      <c r="S117" s="147">
        <v>87164616084</v>
      </c>
      <c r="T117" s="147">
        <v>80477647738</v>
      </c>
      <c r="U117" s="147">
        <v>86058138317</v>
      </c>
      <c r="V117" s="147">
        <v>99466002491</v>
      </c>
      <c r="W117" s="147">
        <v>119153919618</v>
      </c>
      <c r="X117" s="147">
        <v>147095662771</v>
      </c>
    </row>
    <row r="118" spans="2:24" ht="17">
      <c r="B118" s="99">
        <v>20</v>
      </c>
      <c r="C118" s="158" t="s">
        <v>28</v>
      </c>
      <c r="D118" s="141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</row>
    <row r="119" spans="2:24">
      <c r="B119" s="99"/>
      <c r="C119" s="99" t="s">
        <v>58</v>
      </c>
      <c r="D119" s="99"/>
      <c r="E119" s="147">
        <v>114850588877</v>
      </c>
      <c r="F119" s="147">
        <v>114850588877</v>
      </c>
      <c r="G119" s="147">
        <v>114850588877</v>
      </c>
      <c r="H119" s="147">
        <v>110924913091</v>
      </c>
      <c r="I119" s="147">
        <v>106541904049</v>
      </c>
      <c r="J119" s="147">
        <v>136516788305</v>
      </c>
      <c r="K119" s="147">
        <v>137322001430</v>
      </c>
      <c r="L119" s="147">
        <v>115979973335</v>
      </c>
      <c r="M119" s="149">
        <v>53489138934</v>
      </c>
      <c r="N119" s="149">
        <v>61919158245</v>
      </c>
      <c r="O119" s="149">
        <v>63785527500</v>
      </c>
      <c r="P119" s="147">
        <v>69272490998</v>
      </c>
      <c r="Q119" s="147">
        <v>77802430686</v>
      </c>
      <c r="R119" s="147">
        <v>76011579628</v>
      </c>
      <c r="S119" s="147">
        <v>5067999130</v>
      </c>
      <c r="T119" s="147">
        <v>80430936050</v>
      </c>
      <c r="U119" s="147">
        <v>77095428269</v>
      </c>
      <c r="V119" s="147">
        <v>76966477781</v>
      </c>
      <c r="W119" s="147">
        <v>73043908291</v>
      </c>
      <c r="X119" s="147">
        <v>73043908291</v>
      </c>
    </row>
    <row r="120" spans="2:24">
      <c r="B120" s="99"/>
      <c r="C120" s="99" t="s">
        <v>59</v>
      </c>
      <c r="D120" s="99"/>
      <c r="E120" s="147">
        <v>105612150884</v>
      </c>
      <c r="F120" s="147">
        <v>105612150884</v>
      </c>
      <c r="G120" s="147">
        <v>105612150884</v>
      </c>
      <c r="H120" s="147">
        <v>110399868528</v>
      </c>
      <c r="I120" s="147">
        <v>103725469780</v>
      </c>
      <c r="J120" s="147">
        <v>128196425969</v>
      </c>
      <c r="K120" s="147">
        <v>133861095891</v>
      </c>
      <c r="L120" s="147">
        <v>152334287682</v>
      </c>
      <c r="M120" s="149">
        <v>140652038439</v>
      </c>
      <c r="N120" s="149">
        <v>122173649119</v>
      </c>
      <c r="O120" s="149">
        <v>150032628934</v>
      </c>
      <c r="P120" s="147">
        <v>129569093377</v>
      </c>
      <c r="Q120" s="147">
        <v>111962259838</v>
      </c>
      <c r="R120" s="147">
        <v>122372104738</v>
      </c>
      <c r="S120" s="147">
        <v>93552275068</v>
      </c>
      <c r="T120" s="147">
        <v>121411576288</v>
      </c>
      <c r="U120" s="147">
        <v>116035119055</v>
      </c>
      <c r="V120" s="147">
        <v>119942041817</v>
      </c>
      <c r="W120" s="147">
        <v>121933453382</v>
      </c>
      <c r="X120" s="147">
        <v>121933453382</v>
      </c>
    </row>
    <row r="121" spans="2:24" ht="17">
      <c r="B121" s="99"/>
      <c r="C121" s="141" t="s">
        <v>57</v>
      </c>
      <c r="D121" s="141"/>
      <c r="E121" s="149">
        <v>62453215805</v>
      </c>
      <c r="F121" s="149">
        <v>29269164873</v>
      </c>
      <c r="G121" s="149">
        <v>37837547410</v>
      </c>
      <c r="H121" s="149">
        <v>14840935095</v>
      </c>
      <c r="I121" s="149">
        <v>45268339918</v>
      </c>
      <c r="J121" s="149">
        <v>45000000000</v>
      </c>
      <c r="K121" s="149">
        <v>5294107120</v>
      </c>
      <c r="L121" s="149">
        <v>-24420584889</v>
      </c>
      <c r="M121" s="149">
        <v>19697771065</v>
      </c>
      <c r="N121" s="149">
        <v>20411156677</v>
      </c>
      <c r="O121" s="149">
        <v>24989136375</v>
      </c>
      <c r="P121" s="149">
        <v>20936454302</v>
      </c>
      <c r="Q121" s="147">
        <v>32021543020</v>
      </c>
      <c r="R121" s="149">
        <v>13305879923</v>
      </c>
      <c r="S121" s="149">
        <v>20859363164</v>
      </c>
      <c r="T121" s="149">
        <v>24638604869</v>
      </c>
      <c r="U121" s="149">
        <v>16044303264</v>
      </c>
      <c r="V121" s="149">
        <v>10024498855</v>
      </c>
      <c r="W121" s="149">
        <v>7296773984</v>
      </c>
      <c r="X121" s="149">
        <v>7296773984</v>
      </c>
    </row>
    <row r="122" spans="2:24">
      <c r="B122" s="99"/>
      <c r="C122" s="99" t="s">
        <v>56</v>
      </c>
      <c r="D122" s="99"/>
      <c r="E122" s="147">
        <v>262570887027</v>
      </c>
      <c r="F122" s="147">
        <v>262570887027</v>
      </c>
      <c r="G122" s="147">
        <v>262570887027</v>
      </c>
      <c r="H122" s="147">
        <v>275487784551</v>
      </c>
      <c r="I122" s="147">
        <v>267943349080</v>
      </c>
      <c r="J122" s="147">
        <v>292642081080</v>
      </c>
      <c r="K122" s="147">
        <v>302441561973</v>
      </c>
      <c r="L122" s="147">
        <v>283270056415</v>
      </c>
      <c r="M122" s="149">
        <v>201718229741</v>
      </c>
      <c r="N122" s="149">
        <v>205000898407</v>
      </c>
      <c r="O122" s="149">
        <v>206362107956</v>
      </c>
      <c r="P122" s="147">
        <v>170331201369</v>
      </c>
      <c r="Q122" s="147">
        <v>161645486764</v>
      </c>
      <c r="R122" s="147">
        <v>157050441566</v>
      </c>
      <c r="S122" s="147">
        <v>134104989245</v>
      </c>
      <c r="T122" s="147">
        <v>159955395491</v>
      </c>
      <c r="U122" s="147">
        <v>155578776414</v>
      </c>
      <c r="V122" s="147">
        <v>155569546245</v>
      </c>
      <c r="W122" s="147">
        <v>150889204018</v>
      </c>
      <c r="X122" s="147">
        <v>150889204018</v>
      </c>
    </row>
    <row r="123" spans="2:24">
      <c r="B123" s="99"/>
      <c r="C123" s="99" t="s">
        <v>55</v>
      </c>
      <c r="D123" s="99"/>
      <c r="E123" s="147">
        <v>135879045183</v>
      </c>
      <c r="F123" s="147">
        <v>135879045183</v>
      </c>
      <c r="G123" s="147">
        <v>135879045183</v>
      </c>
      <c r="H123" s="147">
        <v>149811341327</v>
      </c>
      <c r="I123" s="147">
        <v>144192630859</v>
      </c>
      <c r="J123" s="147">
        <v>169372951796</v>
      </c>
      <c r="K123" s="147">
        <v>187281388707</v>
      </c>
      <c r="L123" s="147">
        <v>207781445025</v>
      </c>
      <c r="M123" s="149">
        <v>206159556503</v>
      </c>
      <c r="N123" s="149">
        <v>208590823563</v>
      </c>
      <c r="O123" s="149">
        <v>214350773077</v>
      </c>
      <c r="P123" s="147">
        <v>205297057648</v>
      </c>
      <c r="Q123" s="147">
        <v>198432975151</v>
      </c>
      <c r="R123" s="147">
        <v>193729406192</v>
      </c>
      <c r="S123" s="147">
        <v>171676333507</v>
      </c>
      <c r="T123" s="147">
        <v>207474366266</v>
      </c>
      <c r="U123" s="147">
        <v>202097909033</v>
      </c>
      <c r="V123" s="147">
        <v>206004831795</v>
      </c>
      <c r="W123" s="147">
        <v>207965839360</v>
      </c>
      <c r="X123" s="147">
        <v>207965839360</v>
      </c>
    </row>
    <row r="124" spans="2:24" ht="17">
      <c r="B124" s="99">
        <v>21</v>
      </c>
      <c r="C124" s="141" t="s">
        <v>29</v>
      </c>
      <c r="D124" s="141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</row>
    <row r="125" spans="2:24">
      <c r="B125" s="99"/>
      <c r="C125" s="99" t="s">
        <v>58</v>
      </c>
      <c r="D125" s="99"/>
      <c r="E125" s="147">
        <v>32788452752</v>
      </c>
      <c r="F125" s="147">
        <v>32788452752</v>
      </c>
      <c r="G125" s="147">
        <v>26505063385</v>
      </c>
      <c r="H125" s="147">
        <v>25440029597</v>
      </c>
      <c r="I125" s="147">
        <v>27036651747</v>
      </c>
      <c r="J125" s="147">
        <v>15261797457</v>
      </c>
      <c r="K125" s="147">
        <v>20213179036</v>
      </c>
      <c r="L125" s="147">
        <v>20982095779</v>
      </c>
      <c r="M125" s="149">
        <v>26683500590</v>
      </c>
      <c r="N125" s="149">
        <v>22184302799</v>
      </c>
      <c r="O125" s="149">
        <v>26048828809</v>
      </c>
      <c r="P125" s="147">
        <v>27205306574</v>
      </c>
      <c r="Q125" s="147">
        <v>31969067212</v>
      </c>
      <c r="R125" s="147">
        <v>25064074453</v>
      </c>
      <c r="S125" s="147">
        <v>24290482675</v>
      </c>
      <c r="T125" s="147">
        <v>29138439646</v>
      </c>
      <c r="U125" s="147">
        <v>31335442522</v>
      </c>
      <c r="V125" s="147">
        <v>28704573439</v>
      </c>
      <c r="W125" s="147">
        <v>24475600231</v>
      </c>
      <c r="X125" s="147">
        <v>24710914366</v>
      </c>
    </row>
    <row r="126" spans="2:24">
      <c r="B126" s="99"/>
      <c r="C126" s="99" t="s">
        <v>59</v>
      </c>
      <c r="D126" s="99"/>
      <c r="E126" s="147">
        <v>201026965355</v>
      </c>
      <c r="F126" s="147">
        <v>201026965355</v>
      </c>
      <c r="G126" s="147">
        <v>168255908445</v>
      </c>
      <c r="H126" s="147">
        <v>190967041916</v>
      </c>
      <c r="I126" s="147">
        <v>194490254698</v>
      </c>
      <c r="J126" s="147">
        <v>194019071215</v>
      </c>
      <c r="K126" s="147">
        <v>181885781769</v>
      </c>
      <c r="L126" s="147">
        <v>187447337836</v>
      </c>
      <c r="M126" s="149">
        <v>184183054669</v>
      </c>
      <c r="N126" s="149">
        <v>188841789758</v>
      </c>
      <c r="O126" s="149">
        <v>181756096091</v>
      </c>
      <c r="P126" s="147">
        <v>323987512785</v>
      </c>
      <c r="Q126" s="147">
        <v>322787260477</v>
      </c>
      <c r="R126" s="147">
        <v>342712462294</v>
      </c>
      <c r="S126" s="147">
        <v>309547874435</v>
      </c>
      <c r="T126" s="147">
        <v>207036303928</v>
      </c>
      <c r="U126" s="147">
        <v>213684584430</v>
      </c>
      <c r="V126" s="147">
        <v>219845057458</v>
      </c>
      <c r="W126" s="147">
        <v>220375039019</v>
      </c>
      <c r="X126" s="147">
        <v>239244745450</v>
      </c>
    </row>
    <row r="127" spans="2:24" ht="17">
      <c r="B127" s="99"/>
      <c r="C127" s="141" t="s">
        <v>57</v>
      </c>
      <c r="D127" s="141"/>
      <c r="E127" s="149">
        <v>36854775697</v>
      </c>
      <c r="F127" s="149">
        <v>41682820437</v>
      </c>
      <c r="G127" s="149">
        <v>52926801411</v>
      </c>
      <c r="H127" s="149">
        <v>48609157636</v>
      </c>
      <c r="I127" s="149">
        <v>46966909000</v>
      </c>
      <c r="J127" s="149">
        <v>24345591000</v>
      </c>
      <c r="K127" s="149">
        <v>34399489000</v>
      </c>
      <c r="L127" s="149">
        <v>38249363119</v>
      </c>
      <c r="M127" s="149">
        <v>42236610000</v>
      </c>
      <c r="N127" s="149">
        <v>45187717000</v>
      </c>
      <c r="O127" s="149">
        <v>37752696000</v>
      </c>
      <c r="P127" s="149">
        <v>35880547000</v>
      </c>
      <c r="Q127" s="149">
        <v>50934906579</v>
      </c>
      <c r="R127" s="149">
        <v>64916240034</v>
      </c>
      <c r="S127" s="149">
        <v>62939869672</v>
      </c>
      <c r="T127" s="149">
        <v>74457597449</v>
      </c>
      <c r="U127" s="149">
        <v>68689872574</v>
      </c>
      <c r="V127" s="149">
        <v>55731966643</v>
      </c>
      <c r="W127" s="149">
        <v>58017603479</v>
      </c>
      <c r="X127" s="149">
        <v>60353175237</v>
      </c>
    </row>
    <row r="128" spans="2:24">
      <c r="B128" s="99"/>
      <c r="C128" s="99" t="s">
        <v>56</v>
      </c>
      <c r="D128" s="99"/>
      <c r="E128" s="147">
        <v>329373392304</v>
      </c>
      <c r="F128" s="147">
        <v>329373392304</v>
      </c>
      <c r="G128" s="147">
        <v>316642474450</v>
      </c>
      <c r="H128" s="147">
        <v>357452208844</v>
      </c>
      <c r="I128" s="147">
        <v>351574731677</v>
      </c>
      <c r="J128" s="147">
        <v>332325778077</v>
      </c>
      <c r="K128" s="147">
        <v>329809360339</v>
      </c>
      <c r="L128" s="147">
        <v>322122601642</v>
      </c>
      <c r="M128" s="149">
        <v>320349552764</v>
      </c>
      <c r="N128" s="149">
        <v>308430885658</v>
      </c>
      <c r="O128" s="149">
        <v>304871582979</v>
      </c>
      <c r="P128" s="147">
        <v>298604232055</v>
      </c>
      <c r="Q128" s="147">
        <v>295944164004</v>
      </c>
      <c r="R128" s="147">
        <v>281615342556</v>
      </c>
      <c r="S128" s="147">
        <v>273417922086</v>
      </c>
      <c r="T128" s="147">
        <v>270842050371</v>
      </c>
      <c r="U128" s="147">
        <v>265669085583</v>
      </c>
      <c r="V128" s="147">
        <v>255775970874</v>
      </c>
      <c r="W128" s="147">
        <v>244326372977</v>
      </c>
      <c r="X128" s="147">
        <v>237297109924</v>
      </c>
    </row>
    <row r="129" spans="1:42">
      <c r="B129" s="99"/>
      <c r="C129" s="99" t="s">
        <v>55</v>
      </c>
      <c r="D129" s="99"/>
      <c r="E129" s="147">
        <v>389528508886</v>
      </c>
      <c r="F129" s="147">
        <v>389528508886</v>
      </c>
      <c r="G129" s="147">
        <v>366841435822</v>
      </c>
      <c r="H129" s="147">
        <v>408955063516</v>
      </c>
      <c r="I129" s="147">
        <v>401629915801</v>
      </c>
      <c r="J129" s="147">
        <v>394540219743</v>
      </c>
      <c r="K129" s="147">
        <v>394105173321</v>
      </c>
      <c r="L129" s="147">
        <v>391040622215</v>
      </c>
      <c r="M129" s="149">
        <v>389485041047</v>
      </c>
      <c r="N129" s="149">
        <v>376241746476</v>
      </c>
      <c r="O129" s="149">
        <v>373638637090</v>
      </c>
      <c r="P129" s="147">
        <v>366839357213</v>
      </c>
      <c r="Q129" s="147">
        <v>362575359769</v>
      </c>
      <c r="R129" s="147">
        <v>345629234828</v>
      </c>
      <c r="S129" s="147">
        <v>336044655077</v>
      </c>
      <c r="T129" s="147">
        <v>328634650706</v>
      </c>
      <c r="U129" s="147">
        <v>316819695453</v>
      </c>
      <c r="V129" s="147">
        <v>303815870778</v>
      </c>
      <c r="W129" s="147">
        <v>288960680109</v>
      </c>
      <c r="X129" s="147">
        <v>275538626115</v>
      </c>
    </row>
    <row r="130" spans="1:42" ht="17">
      <c r="B130" s="99">
        <v>22</v>
      </c>
      <c r="C130" s="141" t="s">
        <v>30</v>
      </c>
      <c r="D130" s="141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</row>
    <row r="131" spans="1:42">
      <c r="B131" s="99"/>
      <c r="C131" s="99" t="s">
        <v>58</v>
      </c>
      <c r="D131" s="99"/>
      <c r="E131" s="147">
        <v>7135570913852</v>
      </c>
      <c r="F131" s="147">
        <v>7493723538277</v>
      </c>
      <c r="G131" s="147">
        <v>7500337255717</v>
      </c>
      <c r="H131" s="147">
        <v>7588263288283</v>
      </c>
      <c r="I131" s="147">
        <v>8273650385314</v>
      </c>
      <c r="J131" s="147">
        <v>9520861474884</v>
      </c>
      <c r="K131" s="147">
        <v>8698419082378</v>
      </c>
      <c r="L131" s="147">
        <v>8268647779762</v>
      </c>
      <c r="M131" s="149">
        <v>8861335851259</v>
      </c>
      <c r="N131" s="149">
        <v>9025687354085</v>
      </c>
      <c r="O131" s="149">
        <v>8902417285371</v>
      </c>
      <c r="P131" s="147">
        <v>8622455431795</v>
      </c>
      <c r="Q131" s="147">
        <v>8447640267759</v>
      </c>
      <c r="R131" s="147">
        <v>8467030933498</v>
      </c>
      <c r="S131" s="147">
        <v>8143020290936</v>
      </c>
      <c r="T131" s="147">
        <v>9348909743155</v>
      </c>
      <c r="U131" s="147">
        <v>9432596376118</v>
      </c>
      <c r="V131" s="147">
        <v>9163433798879</v>
      </c>
      <c r="W131" s="147">
        <v>9548553019031</v>
      </c>
      <c r="X131" s="147">
        <v>9786373117617</v>
      </c>
    </row>
    <row r="132" spans="1:42">
      <c r="B132" s="99"/>
      <c r="C132" s="99" t="s">
        <v>59</v>
      </c>
      <c r="D132" s="99"/>
      <c r="E132" s="147">
        <v>8264895425385</v>
      </c>
      <c r="F132" s="147">
        <v>9412771676638</v>
      </c>
      <c r="G132" s="147">
        <v>8549171493207</v>
      </c>
      <c r="H132" s="147">
        <v>8994809317527</v>
      </c>
      <c r="I132" s="147">
        <v>11952442535142</v>
      </c>
      <c r="J132" s="147">
        <v>10541953021154</v>
      </c>
      <c r="K132" s="147">
        <v>10526190787781</v>
      </c>
      <c r="L132" s="147">
        <v>9619428981410</v>
      </c>
      <c r="M132" s="149">
        <v>9893448792087</v>
      </c>
      <c r="N132" s="149">
        <v>10472426784205</v>
      </c>
      <c r="O132" s="149">
        <v>10280770641556</v>
      </c>
      <c r="P132" s="147">
        <v>10425774038841</v>
      </c>
      <c r="Q132" s="147">
        <v>8880715527595</v>
      </c>
      <c r="R132" s="147">
        <v>11384674084022</v>
      </c>
      <c r="S132" s="147">
        <v>11299353913320</v>
      </c>
      <c r="T132" s="147">
        <v>13085783484765</v>
      </c>
      <c r="U132" s="147">
        <v>12194000225999</v>
      </c>
      <c r="V132" s="147">
        <v>10722178206524</v>
      </c>
      <c r="W132" s="147">
        <v>10517768844465</v>
      </c>
      <c r="X132" s="147">
        <v>10691776613770</v>
      </c>
    </row>
    <row r="133" spans="1:42" ht="17">
      <c r="B133" s="99"/>
      <c r="C133" s="141" t="s">
        <v>57</v>
      </c>
      <c r="D133" s="141"/>
      <c r="E133" s="149">
        <v>938655689684</v>
      </c>
      <c r="F133" s="149">
        <v>1015990282589</v>
      </c>
      <c r="G133" s="149">
        <v>969538816057</v>
      </c>
      <c r="H133" s="149">
        <v>1041863607933</v>
      </c>
      <c r="I133" s="149">
        <v>1156688083312</v>
      </c>
      <c r="J133" s="149">
        <v>980992981830</v>
      </c>
      <c r="K133" s="149">
        <v>1010650521848</v>
      </c>
      <c r="L133" s="149">
        <v>994419201812</v>
      </c>
      <c r="M133" s="149">
        <v>978684349581</v>
      </c>
      <c r="N133" s="149">
        <v>976684022182</v>
      </c>
      <c r="O133" s="149">
        <v>993352389964</v>
      </c>
      <c r="P133" s="149">
        <v>1090699766116</v>
      </c>
      <c r="Q133" s="149">
        <v>1230514878987</v>
      </c>
      <c r="R133" s="149">
        <v>1175412226763</v>
      </c>
      <c r="S133" s="149">
        <v>1191972654256</v>
      </c>
      <c r="T133" s="149">
        <v>1227533792901</v>
      </c>
      <c r="U133" s="149">
        <v>1273770367837</v>
      </c>
      <c r="V133" s="149">
        <v>1256133313821</v>
      </c>
      <c r="W133" s="149">
        <v>1300053524003</v>
      </c>
      <c r="X133" s="149">
        <v>1324411926038</v>
      </c>
    </row>
    <row r="134" spans="1:42">
      <c r="B134" s="99"/>
      <c r="C134" s="99" t="s">
        <v>56</v>
      </c>
      <c r="D134" s="99"/>
      <c r="E134" s="147">
        <v>21000416590727</v>
      </c>
      <c r="F134" s="147">
        <v>22419156543276</v>
      </c>
      <c r="G134" s="147">
        <v>23505530723970</v>
      </c>
      <c r="H134" s="147">
        <v>24296140332728</v>
      </c>
      <c r="I134" s="147">
        <v>26364886750127</v>
      </c>
      <c r="J134" s="147">
        <v>25368524584428</v>
      </c>
      <c r="K134" s="147">
        <v>24477379252660</v>
      </c>
      <c r="L134" s="147">
        <v>23639879332158</v>
      </c>
      <c r="M134" s="149">
        <v>23850583200756</v>
      </c>
      <c r="N134" s="149">
        <v>24380961128114</v>
      </c>
      <c r="O134" s="149">
        <v>24192093350851</v>
      </c>
      <c r="P134" s="147">
        <v>24715394326528</v>
      </c>
      <c r="Q134" s="147">
        <v>24677256178379</v>
      </c>
      <c r="R134" s="147">
        <v>25150142636673</v>
      </c>
      <c r="S134" s="147">
        <v>25108016982549</v>
      </c>
      <c r="T134" s="147">
        <v>26929459012147</v>
      </c>
      <c r="U134" s="147">
        <v>27563047992382</v>
      </c>
      <c r="V134" s="147">
        <v>27287242526377</v>
      </c>
      <c r="W134" s="147">
        <v>28061960394159</v>
      </c>
      <c r="X134" s="147">
        <v>28711561013612</v>
      </c>
    </row>
    <row r="135" spans="1:42">
      <c r="B135" s="99"/>
      <c r="C135" s="99" t="s">
        <v>55</v>
      </c>
      <c r="D135" s="99"/>
      <c r="E135" s="147">
        <v>17539924362046</v>
      </c>
      <c r="F135" s="147">
        <v>18983891296404</v>
      </c>
      <c r="G135" s="147">
        <v>20120902992123</v>
      </c>
      <c r="H135" s="147">
        <v>21014232022229</v>
      </c>
      <c r="I135" s="147">
        <v>23204117493696</v>
      </c>
      <c r="J135" s="147">
        <v>22162596635314</v>
      </c>
      <c r="K135" s="147">
        <v>20853257734203</v>
      </c>
      <c r="L135" s="147">
        <v>20035511464172</v>
      </c>
      <c r="M135" s="149">
        <v>20221795014995</v>
      </c>
      <c r="N135" s="149">
        <v>20589339308324</v>
      </c>
      <c r="O135" s="149">
        <v>20384965721452</v>
      </c>
      <c r="P135" s="147">
        <v>20905277198797</v>
      </c>
      <c r="Q135" s="147">
        <v>20778672401764</v>
      </c>
      <c r="R135" s="147">
        <v>21194143189184</v>
      </c>
      <c r="S135" s="147">
        <v>21030143943111</v>
      </c>
      <c r="T135" s="147">
        <v>22506427524373</v>
      </c>
      <c r="U135" s="147">
        <v>23024243368258</v>
      </c>
      <c r="V135" s="147">
        <v>22801928005754</v>
      </c>
      <c r="W135" s="147">
        <v>23627260212735</v>
      </c>
      <c r="X135" s="147">
        <v>23973773451031</v>
      </c>
    </row>
    <row r="136" spans="1:42" ht="17">
      <c r="B136" s="99">
        <v>23</v>
      </c>
      <c r="C136" s="141" t="s">
        <v>31</v>
      </c>
      <c r="D136" s="141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</row>
    <row r="137" spans="1:42">
      <c r="B137" s="99"/>
      <c r="C137" s="99" t="s">
        <v>58</v>
      </c>
      <c r="D137" s="99"/>
      <c r="E137" s="147">
        <v>721689299584</v>
      </c>
      <c r="F137" s="147">
        <v>789601397225</v>
      </c>
      <c r="G137" s="147">
        <v>652506417924</v>
      </c>
      <c r="H137" s="147">
        <v>652506417924</v>
      </c>
      <c r="I137" s="147">
        <v>839996592159</v>
      </c>
      <c r="J137" s="147">
        <v>777023260245</v>
      </c>
      <c r="K137" s="147">
        <v>615788743979</v>
      </c>
      <c r="L137" s="147">
        <v>627688164688</v>
      </c>
      <c r="M137" s="147">
        <v>1063010267703</v>
      </c>
      <c r="N137" s="147">
        <v>1105944036733</v>
      </c>
      <c r="O137" s="147">
        <v>1191789124341</v>
      </c>
      <c r="P137" s="147">
        <v>1061788861867</v>
      </c>
      <c r="Q137" s="147">
        <v>2050192318290</v>
      </c>
      <c r="R137" s="147">
        <v>1889633529253</v>
      </c>
      <c r="S137" s="147">
        <v>1865539836915</v>
      </c>
      <c r="T137" s="147">
        <v>1545235102845</v>
      </c>
      <c r="U137" s="147">
        <v>1646812174378</v>
      </c>
      <c r="V137" s="147">
        <v>1619761014157</v>
      </c>
      <c r="W137" s="147">
        <v>1515865061626</v>
      </c>
      <c r="X137" s="147">
        <v>1466081219253</v>
      </c>
    </row>
    <row r="138" spans="1:42">
      <c r="B138" s="99"/>
      <c r="C138" s="99" t="s">
        <v>59</v>
      </c>
      <c r="D138" s="99"/>
      <c r="E138" s="147">
        <v>1186016264221</v>
      </c>
      <c r="F138" s="147">
        <v>1177768828152</v>
      </c>
      <c r="G138" s="147">
        <v>1240237695433</v>
      </c>
      <c r="H138" s="147">
        <v>1240237695433</v>
      </c>
      <c r="I138" s="147">
        <v>1324580613403</v>
      </c>
      <c r="J138" s="147">
        <v>1261419661816</v>
      </c>
      <c r="K138" s="147">
        <v>1177805869064</v>
      </c>
      <c r="L138" s="147">
        <v>1436932364028</v>
      </c>
      <c r="M138" s="147">
        <v>1425694118179</v>
      </c>
      <c r="N138" s="147">
        <v>1433024586816</v>
      </c>
      <c r="O138" s="147">
        <v>1105563764674</v>
      </c>
      <c r="P138" s="147">
        <v>1182732810012</v>
      </c>
      <c r="Q138" s="147">
        <v>1709266645431</v>
      </c>
      <c r="R138" s="147">
        <v>1722886876991</v>
      </c>
      <c r="S138" s="147">
        <v>1764081874590</v>
      </c>
      <c r="T138" s="147">
        <v>1792267563348</v>
      </c>
      <c r="U138" s="147">
        <v>1772665197754</v>
      </c>
      <c r="V138" s="147">
        <v>1811537413623</v>
      </c>
      <c r="W138" s="147">
        <v>1579046469279</v>
      </c>
      <c r="X138" s="147">
        <v>1663304123364</v>
      </c>
    </row>
    <row r="139" spans="1:42" ht="17">
      <c r="B139" s="99"/>
      <c r="C139" s="141" t="s">
        <v>57</v>
      </c>
      <c r="D139" s="141"/>
      <c r="E139" s="149">
        <v>508673145129</v>
      </c>
      <c r="F139" s="147">
        <v>574083944739</v>
      </c>
      <c r="G139" s="149">
        <v>588136550342</v>
      </c>
      <c r="H139" s="149">
        <v>663328551875</v>
      </c>
      <c r="I139" s="149">
        <v>701617334184</v>
      </c>
      <c r="J139" s="147">
        <v>701444092558</v>
      </c>
      <c r="K139" s="149">
        <v>746905090024</v>
      </c>
      <c r="L139" s="149">
        <v>887392851201</v>
      </c>
      <c r="M139" s="149">
        <v>963171126912</v>
      </c>
      <c r="N139" s="149">
        <v>1146928816736</v>
      </c>
      <c r="O139" s="149">
        <v>1365384761600</v>
      </c>
      <c r="P139" s="149">
        <v>1612609474126</v>
      </c>
      <c r="Q139" s="149">
        <v>1536302839713</v>
      </c>
      <c r="R139" s="149">
        <v>1634193430356</v>
      </c>
      <c r="S139" s="149">
        <v>1459250692632</v>
      </c>
      <c r="T139" s="149">
        <v>1240346919305</v>
      </c>
      <c r="U139" s="149">
        <v>1146314378073</v>
      </c>
      <c r="V139" s="149">
        <v>1242505887656</v>
      </c>
      <c r="W139" s="149">
        <v>1071187623139</v>
      </c>
      <c r="X139" s="149">
        <v>978514417626</v>
      </c>
    </row>
    <row r="140" spans="1:42">
      <c r="B140" s="99"/>
      <c r="C140" s="99" t="s">
        <v>56</v>
      </c>
      <c r="D140" s="99"/>
      <c r="E140" s="147">
        <v>4410223264405</v>
      </c>
      <c r="F140" s="147">
        <v>4552121772634</v>
      </c>
      <c r="G140" s="147">
        <v>4849223630042</v>
      </c>
      <c r="H140" s="147">
        <v>4849223630042</v>
      </c>
      <c r="I140" s="147">
        <v>5111130398037</v>
      </c>
      <c r="J140" s="147">
        <v>4979786041364</v>
      </c>
      <c r="K140" s="147">
        <v>4812254233792</v>
      </c>
      <c r="L140" s="147">
        <v>5170895098267</v>
      </c>
      <c r="M140" s="147">
        <v>5595444820742</v>
      </c>
      <c r="N140" s="147">
        <v>5658263406100</v>
      </c>
      <c r="O140" s="147">
        <v>5888311145825</v>
      </c>
      <c r="P140" s="147">
        <v>6031946733670</v>
      </c>
      <c r="Q140" s="147">
        <v>7230467509913</v>
      </c>
      <c r="R140" s="147">
        <v>7311158789126</v>
      </c>
      <c r="S140" s="147">
        <v>7443318926000</v>
      </c>
      <c r="T140" s="147">
        <v>7268436910723</v>
      </c>
      <c r="U140" s="147">
        <v>7300219022349</v>
      </c>
      <c r="V140" s="147">
        <v>7398882252284</v>
      </c>
      <c r="W140" s="147">
        <v>7249800968627</v>
      </c>
      <c r="X140" s="147">
        <v>7335797636072</v>
      </c>
    </row>
    <row r="141" spans="1:42">
      <c r="B141" s="99"/>
      <c r="C141" s="99" t="s">
        <v>55</v>
      </c>
      <c r="D141" s="99"/>
      <c r="E141" s="147">
        <v>3191005991870</v>
      </c>
      <c r="F141" s="147">
        <v>3260610309086</v>
      </c>
      <c r="G141" s="147">
        <v>3511071376393</v>
      </c>
      <c r="H141" s="147">
        <v>3511071376393</v>
      </c>
      <c r="I141" s="147">
        <v>3702416841231</v>
      </c>
      <c r="J141" s="147">
        <v>3568709254687</v>
      </c>
      <c r="K141" s="147">
        <v>3408657789881</v>
      </c>
      <c r="L141" s="147">
        <v>3731575182568</v>
      </c>
      <c r="M141" s="147">
        <v>3982171059007</v>
      </c>
      <c r="N141" s="147">
        <v>4000997955181</v>
      </c>
      <c r="O141" s="147">
        <v>3710246238505</v>
      </c>
      <c r="P141" s="147">
        <v>4266438743626</v>
      </c>
      <c r="Q141" s="147">
        <v>4737338973465</v>
      </c>
      <c r="R141" s="147">
        <v>4736419184790</v>
      </c>
      <c r="S141" s="147">
        <v>4899552306171</v>
      </c>
      <c r="T141" s="147">
        <v>4797579648309</v>
      </c>
      <c r="U141" s="147">
        <v>4792744490419</v>
      </c>
      <c r="V141" s="147">
        <v>4896406749142</v>
      </c>
      <c r="W141" s="147">
        <v>4593544443387</v>
      </c>
      <c r="X141" s="147">
        <v>4733321354845</v>
      </c>
    </row>
    <row r="142" spans="1:42">
      <c r="E142" s="79"/>
      <c r="F142" s="79"/>
      <c r="G142" s="79"/>
      <c r="H142" s="7"/>
      <c r="I142" s="7"/>
      <c r="L142" s="7"/>
      <c r="M142" s="79"/>
      <c r="N142" s="79"/>
      <c r="P142"/>
      <c r="T142"/>
    </row>
    <row r="143" spans="1:42" s="107" customFormat="1">
      <c r="A143" s="5"/>
      <c r="B143" s="98" t="s">
        <v>0</v>
      </c>
      <c r="C143" s="95" t="s">
        <v>1</v>
      </c>
      <c r="D143" s="95" t="s">
        <v>2</v>
      </c>
      <c r="E143" s="173">
        <v>2019</v>
      </c>
      <c r="F143" s="173"/>
      <c r="G143" s="173"/>
      <c r="H143" s="173"/>
      <c r="I143" s="173">
        <v>2020</v>
      </c>
      <c r="J143" s="173"/>
      <c r="K143" s="173"/>
      <c r="L143" s="173"/>
      <c r="M143" s="173">
        <v>2021</v>
      </c>
      <c r="N143" s="173"/>
      <c r="O143" s="173"/>
      <c r="P143" s="173"/>
      <c r="Q143" s="173">
        <v>2022</v>
      </c>
      <c r="R143" s="173"/>
      <c r="S143" s="173"/>
      <c r="T143" s="173"/>
      <c r="U143" s="173">
        <v>2023</v>
      </c>
      <c r="V143" s="173"/>
      <c r="W143" s="173"/>
      <c r="X143" s="173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hidden="1">
      <c r="B144" s="99"/>
      <c r="C144" s="99"/>
      <c r="D144" s="99"/>
      <c r="E144" s="176">
        <v>2019</v>
      </c>
      <c r="F144" s="176"/>
      <c r="G144" s="176"/>
      <c r="H144" s="176"/>
      <c r="I144" s="176">
        <v>2020</v>
      </c>
      <c r="J144" s="176"/>
      <c r="K144" s="176"/>
      <c r="L144" s="176"/>
      <c r="M144" s="176">
        <v>2021</v>
      </c>
      <c r="N144" s="176"/>
      <c r="O144" s="176"/>
      <c r="P144" s="176"/>
      <c r="Q144" s="176">
        <v>2022</v>
      </c>
      <c r="R144" s="176"/>
      <c r="S144" s="176"/>
      <c r="T144" s="176"/>
      <c r="U144" s="176">
        <v>2023</v>
      </c>
      <c r="V144" s="176"/>
      <c r="W144" s="176"/>
      <c r="X144" s="176"/>
    </row>
    <row r="145" spans="1:42">
      <c r="B145" s="99"/>
      <c r="C145" s="99"/>
      <c r="D145" s="99"/>
      <c r="E145" s="100" t="s">
        <v>5</v>
      </c>
      <c r="F145" s="100" t="s">
        <v>6</v>
      </c>
      <c r="G145" s="100" t="s">
        <v>7</v>
      </c>
      <c r="H145" s="100" t="s">
        <v>8</v>
      </c>
      <c r="I145" s="100" t="s">
        <v>5</v>
      </c>
      <c r="J145" s="100" t="s">
        <v>6</v>
      </c>
      <c r="K145" s="100" t="s">
        <v>7</v>
      </c>
      <c r="L145" s="100" t="s">
        <v>8</v>
      </c>
      <c r="M145" s="100" t="s">
        <v>5</v>
      </c>
      <c r="N145" s="100" t="s">
        <v>6</v>
      </c>
      <c r="O145" s="100" t="s">
        <v>7</v>
      </c>
      <c r="P145" s="100" t="s">
        <v>8</v>
      </c>
      <c r="Q145" s="100" t="s">
        <v>5</v>
      </c>
      <c r="R145" s="100" t="s">
        <v>6</v>
      </c>
      <c r="S145" s="100" t="s">
        <v>7</v>
      </c>
      <c r="T145" s="100" t="s">
        <v>8</v>
      </c>
      <c r="U145" s="100" t="s">
        <v>5</v>
      </c>
      <c r="V145" s="100" t="s">
        <v>6</v>
      </c>
      <c r="W145" s="100" t="s">
        <v>7</v>
      </c>
      <c r="X145" s="100" t="s">
        <v>8</v>
      </c>
    </row>
    <row r="146" spans="1:42" s="6" customFormat="1" ht="17">
      <c r="A146"/>
      <c r="B146" s="105">
        <v>1</v>
      </c>
      <c r="C146" s="102" t="s">
        <v>9</v>
      </c>
      <c r="D146" s="103" t="s">
        <v>32</v>
      </c>
      <c r="E146" s="109">
        <f>E5/E6</f>
        <v>0.60819401648005955</v>
      </c>
      <c r="F146" s="109">
        <f t="shared" ref="F146:X146" si="0">F5/F6</f>
        <v>0.60361074389192526</v>
      </c>
      <c r="G146" s="109">
        <f t="shared" si="0"/>
        <v>0.54780162130107979</v>
      </c>
      <c r="H146" s="109">
        <f t="shared" si="0"/>
        <v>0.5456385956499773</v>
      </c>
      <c r="I146" s="109">
        <f t="shared" si="0"/>
        <v>0.62456922966597961</v>
      </c>
      <c r="J146" s="109">
        <f t="shared" si="0"/>
        <v>0.74252172290808482</v>
      </c>
      <c r="K146" s="109">
        <f t="shared" si="0"/>
        <v>0.7945153774785233</v>
      </c>
      <c r="L146" s="109">
        <f t="shared" si="0"/>
        <v>0.50596209274204651</v>
      </c>
      <c r="M146" s="109">
        <f t="shared" si="0"/>
        <v>0.57174254385072509</v>
      </c>
      <c r="N146" s="109">
        <f t="shared" si="0"/>
        <v>0.75665119752549681</v>
      </c>
      <c r="O146" s="109">
        <f t="shared" si="0"/>
        <v>0.8644284138963847</v>
      </c>
      <c r="P146" s="109">
        <f t="shared" si="0"/>
        <v>1.3257784480256078</v>
      </c>
      <c r="Q146" s="109">
        <f t="shared" si="0"/>
        <v>1.492950039371419</v>
      </c>
      <c r="R146" s="109">
        <f t="shared" si="0"/>
        <v>1.1245662145488096</v>
      </c>
      <c r="S146" s="109">
        <f t="shared" si="0"/>
        <v>1.1613392541895697</v>
      </c>
      <c r="T146" s="109">
        <f t="shared" si="0"/>
        <v>1.1505105179885833</v>
      </c>
      <c r="U146" s="109">
        <f t="shared" si="0"/>
        <v>1.3642221090749402</v>
      </c>
      <c r="V146" s="109">
        <f t="shared" si="0"/>
        <v>1.6339127543116208</v>
      </c>
      <c r="W146" s="109">
        <f t="shared" si="0"/>
        <v>2.1493974284316586</v>
      </c>
      <c r="X146" s="109">
        <f t="shared" si="0"/>
        <v>2.5169214528603878</v>
      </c>
      <c r="Y146" s="110">
        <f>AVERAGE(E146:X146)</f>
        <v>1.0542616887096439</v>
      </c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1:42" s="6" customFormat="1" ht="17">
      <c r="A147"/>
      <c r="B147" s="105">
        <v>2</v>
      </c>
      <c r="C147" s="104" t="s">
        <v>10</v>
      </c>
      <c r="D147" s="103" t="s">
        <v>33</v>
      </c>
      <c r="E147" s="109">
        <f>E11/E12</f>
        <v>5.6450852270449481</v>
      </c>
      <c r="F147" s="109">
        <f t="shared" ref="F147:X147" si="1">F11/F12</f>
        <v>3.7361965493336498</v>
      </c>
      <c r="G147" s="109">
        <f t="shared" si="1"/>
        <v>4.9879765615082787</v>
      </c>
      <c r="H147" s="109">
        <f t="shared" si="1"/>
        <v>5.7815172184875818</v>
      </c>
      <c r="I147" s="109">
        <f t="shared" si="1"/>
        <v>5.9829970124743497</v>
      </c>
      <c r="J147" s="109">
        <f t="shared" si="1"/>
        <v>5.0223265216253861</v>
      </c>
      <c r="K147" s="109">
        <f t="shared" si="1"/>
        <v>7.9793682087401745</v>
      </c>
      <c r="L147" s="109">
        <f t="shared" si="1"/>
        <v>6.7234066289247219</v>
      </c>
      <c r="M147" s="109">
        <f t="shared" si="1"/>
        <v>7.4767941904783788</v>
      </c>
      <c r="N147" s="109">
        <f t="shared" si="1"/>
        <v>7.9402291681417685</v>
      </c>
      <c r="O147" s="109">
        <f t="shared" si="1"/>
        <v>7.2629837788278095</v>
      </c>
      <c r="P147" s="109">
        <f t="shared" si="1"/>
        <v>3.8476762836036618</v>
      </c>
      <c r="Q147" s="109">
        <f t="shared" si="1"/>
        <v>3.2525164008817762</v>
      </c>
      <c r="R147" s="109">
        <f t="shared" si="1"/>
        <v>2.302249670306225</v>
      </c>
      <c r="S147" s="109">
        <f t="shared" si="1"/>
        <v>1.8169773877222128</v>
      </c>
      <c r="T147" s="109">
        <f t="shared" si="1"/>
        <v>4.0716706257502544</v>
      </c>
      <c r="U147" s="109">
        <f t="shared" si="1"/>
        <v>2.747293601083308</v>
      </c>
      <c r="V147" s="109">
        <f t="shared" si="1"/>
        <v>2.5282710922997045</v>
      </c>
      <c r="W147" s="109">
        <f t="shared" si="1"/>
        <v>3.1592987499666796</v>
      </c>
      <c r="X147" s="109">
        <f t="shared" si="1"/>
        <v>2.6656050524397239</v>
      </c>
      <c r="Y147" s="110">
        <f t="shared" ref="Y147:Y168" si="2">AVERAGE(E147:X147)</f>
        <v>4.7465219964820307</v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1:42" s="6" customFormat="1" ht="17">
      <c r="A148"/>
      <c r="B148" s="105">
        <v>3</v>
      </c>
      <c r="C148" s="104" t="s">
        <v>11</v>
      </c>
      <c r="D148" s="103" t="s">
        <v>34</v>
      </c>
      <c r="E148" s="109">
        <f t="shared" ref="E148:G148" si="3">E17/E18</f>
        <v>1.4927496930431572</v>
      </c>
      <c r="F148" s="109">
        <f t="shared" si="3"/>
        <v>1.4927496930431572</v>
      </c>
      <c r="G148" s="109">
        <f t="shared" si="3"/>
        <v>1.4927496930431572</v>
      </c>
      <c r="H148" s="109">
        <f>H17/H18</f>
        <v>1.4927496930431572</v>
      </c>
      <c r="I148" s="109">
        <f t="shared" ref="I148:X148" si="4">I17/I18</f>
        <v>1.4311032036089255</v>
      </c>
      <c r="J148" s="109">
        <f t="shared" si="4"/>
        <v>1.547962068904261</v>
      </c>
      <c r="K148" s="109">
        <f t="shared" si="4"/>
        <v>1.7319700730321252</v>
      </c>
      <c r="L148" s="109">
        <f t="shared" si="4"/>
        <v>1.4362415709275964</v>
      </c>
      <c r="M148" s="109">
        <f t="shared" si="4"/>
        <v>1.726060337146309</v>
      </c>
      <c r="N148" s="109">
        <f t="shared" si="4"/>
        <v>2.1874640790878708</v>
      </c>
      <c r="O148" s="109">
        <f t="shared" si="4"/>
        <v>2.0155910716642604</v>
      </c>
      <c r="P148" s="109">
        <f t="shared" si="4"/>
        <v>1.7867022852587651</v>
      </c>
      <c r="Q148" s="109">
        <f t="shared" si="4"/>
        <v>1.7498704987133951</v>
      </c>
      <c r="R148" s="109">
        <f t="shared" si="4"/>
        <v>2.0425357280180907</v>
      </c>
      <c r="S148" s="109">
        <f t="shared" si="4"/>
        <v>2.0694943996042472</v>
      </c>
      <c r="T148" s="109">
        <f t="shared" si="4"/>
        <v>1.5059859432496356</v>
      </c>
      <c r="U148" s="109">
        <f t="shared" si="4"/>
        <v>1.4485496267802851</v>
      </c>
      <c r="V148" s="109">
        <f t="shared" si="4"/>
        <v>1.7029574156717155</v>
      </c>
      <c r="W148" s="109">
        <f t="shared" si="4"/>
        <v>1.7793337592703447</v>
      </c>
      <c r="X148" s="109">
        <f t="shared" si="4"/>
        <v>1.6078095150105502</v>
      </c>
      <c r="Y148" s="110">
        <f t="shared" si="2"/>
        <v>1.6870315174060504</v>
      </c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1:42" s="6" customFormat="1" ht="17">
      <c r="A149"/>
      <c r="B149" s="105">
        <v>4</v>
      </c>
      <c r="C149" s="104" t="s">
        <v>12</v>
      </c>
      <c r="D149" s="103" t="s">
        <v>35</v>
      </c>
      <c r="E149" s="109">
        <f t="shared" ref="E149:G149" si="5">E23/E24</f>
        <v>1.4069285036038159</v>
      </c>
      <c r="F149" s="109">
        <f t="shared" si="5"/>
        <v>1.2930048767592162</v>
      </c>
      <c r="G149" s="109">
        <f t="shared" si="5"/>
        <v>1.2530856507280195</v>
      </c>
      <c r="H149" s="109">
        <f>H23/H24</f>
        <v>1.2458743356137569</v>
      </c>
      <c r="I149" s="109">
        <f t="shared" ref="I149:X149" si="6">I23/I24</f>
        <v>1.1435033321053478</v>
      </c>
      <c r="J149" s="109">
        <f t="shared" si="6"/>
        <v>1.791616966724263</v>
      </c>
      <c r="K149" s="109">
        <f t="shared" si="6"/>
        <v>1.978229833546735</v>
      </c>
      <c r="L149" s="109">
        <f t="shared" si="6"/>
        <v>1.940418588950152</v>
      </c>
      <c r="M149" s="109">
        <f t="shared" si="6"/>
        <v>1.9751451140650773</v>
      </c>
      <c r="N149" s="109">
        <f>N23/N24</f>
        <v>2.1238981696711852</v>
      </c>
      <c r="O149" s="109">
        <f t="shared" si="6"/>
        <v>2.0708207745013967</v>
      </c>
      <c r="P149" s="109">
        <f t="shared" si="6"/>
        <v>2.4184174245762695</v>
      </c>
      <c r="Q149" s="109">
        <f>Q23/Q24</f>
        <v>26.119520623733891</v>
      </c>
      <c r="R149" s="109">
        <f t="shared" si="6"/>
        <v>1.9915484707752813</v>
      </c>
      <c r="S149" s="109">
        <f t="shared" si="6"/>
        <v>2.1274983743390354</v>
      </c>
      <c r="T149" s="109">
        <f t="shared" si="6"/>
        <v>1.5191301887644062</v>
      </c>
      <c r="U149" s="109">
        <f>U23/U24</f>
        <v>1.4169147038136247</v>
      </c>
      <c r="V149" s="109">
        <f t="shared" si="6"/>
        <v>1.3120848475050433</v>
      </c>
      <c r="W149" s="109">
        <f t="shared" si="6"/>
        <v>1.4523646311845333</v>
      </c>
      <c r="X149" s="109">
        <f t="shared" si="6"/>
        <v>1.7095298509422736</v>
      </c>
      <c r="Y149" s="110">
        <f t="shared" si="2"/>
        <v>2.9144767630951662</v>
      </c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1:42" s="6" customFormat="1" ht="17">
      <c r="A150"/>
      <c r="B150" s="105">
        <v>5</v>
      </c>
      <c r="C150" s="104" t="s">
        <v>13</v>
      </c>
      <c r="D150" s="103" t="s">
        <v>36</v>
      </c>
      <c r="E150" s="109">
        <f t="shared" ref="E150:G150" si="7">E29/E30</f>
        <v>0.471243499542705</v>
      </c>
      <c r="F150" s="109">
        <f t="shared" si="7"/>
        <v>0.471243499542705</v>
      </c>
      <c r="G150" s="109">
        <f t="shared" si="7"/>
        <v>0.471243499542705</v>
      </c>
      <c r="H150" s="109">
        <f>H29/H30</f>
        <v>0.471243499542705</v>
      </c>
      <c r="I150" s="109">
        <f t="shared" ref="I150:X150" si="8">I29/I30</f>
        <v>0.16076579924859624</v>
      </c>
      <c r="J150" s="109">
        <f t="shared" si="8"/>
        <v>7.2295947152202611E-2</v>
      </c>
      <c r="K150" s="109">
        <f t="shared" si="8"/>
        <v>5.0713728235881182E-2</v>
      </c>
      <c r="L150" s="109">
        <f t="shared" si="8"/>
        <v>3.4830765942347568E-2</v>
      </c>
      <c r="M150" s="109">
        <f t="shared" si="8"/>
        <v>3.3283362824955004E-2</v>
      </c>
      <c r="N150" s="109">
        <f>N29/N30</f>
        <v>3.1850191434202008E-2</v>
      </c>
      <c r="O150" s="109">
        <f t="shared" si="8"/>
        <v>2.7678292255377566E-2</v>
      </c>
      <c r="P150" s="109">
        <f t="shared" si="8"/>
        <v>2.5076305066265514E-2</v>
      </c>
      <c r="Q150" s="109">
        <f t="shared" si="8"/>
        <v>2.8900801889296106E-2</v>
      </c>
      <c r="R150" s="109">
        <f t="shared" si="8"/>
        <v>5.7070369349637023E-2</v>
      </c>
      <c r="S150" s="109">
        <f t="shared" si="8"/>
        <v>4.63543898256496E-2</v>
      </c>
      <c r="T150" s="109">
        <f t="shared" si="8"/>
        <v>3.8564816032336663E-2</v>
      </c>
      <c r="U150" s="109">
        <f t="shared" si="8"/>
        <v>5.3994256819100417E-2</v>
      </c>
      <c r="V150" s="109">
        <f t="shared" si="8"/>
        <v>4.3010687278944103E-2</v>
      </c>
      <c r="W150" s="109">
        <f t="shared" si="8"/>
        <v>3.1478969186840219E-2</v>
      </c>
      <c r="X150" s="109">
        <f t="shared" si="8"/>
        <v>3.8702887136708206E-2</v>
      </c>
      <c r="Y150" s="110">
        <f t="shared" si="2"/>
        <v>0.13297727839245801</v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1:42" s="6" customFormat="1" ht="17">
      <c r="A151"/>
      <c r="B151" s="105">
        <v>6</v>
      </c>
      <c r="C151" s="104" t="s">
        <v>14</v>
      </c>
      <c r="D151" s="103" t="s">
        <v>37</v>
      </c>
      <c r="E151" s="109">
        <f t="shared" ref="E151:G151" si="9">E35/E36</f>
        <v>0.60938142650045346</v>
      </c>
      <c r="F151" s="109">
        <f t="shared" si="9"/>
        <v>0.42816214252019402</v>
      </c>
      <c r="G151" s="109">
        <f t="shared" si="9"/>
        <v>0.44685975574227405</v>
      </c>
      <c r="H151" s="109">
        <f>H35/H36</f>
        <v>0.34805080429783308</v>
      </c>
      <c r="I151" s="109">
        <f t="shared" ref="I151:X151" si="10">I35/I36</f>
        <v>0.2101033536901501</v>
      </c>
      <c r="J151" s="109">
        <f t="shared" si="10"/>
        <v>0.16291242340504733</v>
      </c>
      <c r="K151" s="109">
        <f t="shared" si="10"/>
        <v>0.15223364782852422</v>
      </c>
      <c r="L151" s="109">
        <f t="shared" si="10"/>
        <v>0.12492955585052921</v>
      </c>
      <c r="M151" s="109">
        <f t="shared" si="10"/>
        <v>0.10664028181904418</v>
      </c>
      <c r="N151" s="109">
        <f>N35/N36</f>
        <v>7.9827474927418859E-2</v>
      </c>
      <c r="O151" s="109">
        <f t="shared" si="10"/>
        <v>6.8664583407901048E-2</v>
      </c>
      <c r="P151" s="109">
        <f t="shared" si="10"/>
        <v>5.2973217567640979E-2</v>
      </c>
      <c r="Q151" s="109">
        <f t="shared" si="10"/>
        <v>6.5125065225021053E-2</v>
      </c>
      <c r="R151" s="109">
        <f t="shared" si="10"/>
        <v>0.17998489644388518</v>
      </c>
      <c r="S151" s="109">
        <f t="shared" si="10"/>
        <v>0.20679471939272212</v>
      </c>
      <c r="T151" s="109">
        <f>T35/T36</f>
        <v>0.47658517773028342</v>
      </c>
      <c r="U151" s="109">
        <f t="shared" si="10"/>
        <v>0.45299083320106365</v>
      </c>
      <c r="V151" s="109">
        <f t="shared" si="10"/>
        <v>0.50135317950159808</v>
      </c>
      <c r="W151" s="109">
        <f t="shared" si="10"/>
        <v>0.53354147838646515</v>
      </c>
      <c r="X151" s="109">
        <f t="shared" si="10"/>
        <v>0.56110353667181423</v>
      </c>
      <c r="Y151" s="110">
        <f t="shared" si="2"/>
        <v>0.28841087770549317</v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1:42" s="6" customFormat="1" ht="17">
      <c r="A152"/>
      <c r="B152" s="105">
        <v>7</v>
      </c>
      <c r="C152" s="104" t="s">
        <v>15</v>
      </c>
      <c r="D152" s="103" t="s">
        <v>38</v>
      </c>
      <c r="E152" s="109">
        <f t="shared" ref="E152:G152" si="11">E41/E42</f>
        <v>1.5084442033890049</v>
      </c>
      <c r="F152" s="109">
        <f t="shared" si="11"/>
        <v>1.5084442033890049</v>
      </c>
      <c r="G152" s="109">
        <f t="shared" si="11"/>
        <v>1.5084442033890049</v>
      </c>
      <c r="H152" s="109">
        <f>H41/H42</f>
        <v>2.2826605013503194</v>
      </c>
      <c r="I152" s="109">
        <f t="shared" ref="I152:X152" si="12">I41/I42</f>
        <v>1.3841592742277271</v>
      </c>
      <c r="J152" s="109">
        <f t="shared" si="12"/>
        <v>1.2646867927563676</v>
      </c>
      <c r="K152" s="109">
        <f t="shared" si="12"/>
        <v>1.12692103492365</v>
      </c>
      <c r="L152" s="109">
        <f t="shared" si="12"/>
        <v>0.79942377242682172</v>
      </c>
      <c r="M152" s="109">
        <f t="shared" si="12"/>
        <v>0.87637727867675508</v>
      </c>
      <c r="N152" s="109">
        <f t="shared" si="12"/>
        <v>0.98242094041421835</v>
      </c>
      <c r="O152" s="109">
        <f t="shared" si="12"/>
        <v>1.0779798663191513</v>
      </c>
      <c r="P152" s="109">
        <f t="shared" si="12"/>
        <v>1.0062764419196226</v>
      </c>
      <c r="Q152" s="109">
        <f t="shared" si="12"/>
        <v>0.77179799636073831</v>
      </c>
      <c r="R152" s="109">
        <f t="shared" si="12"/>
        <v>1.480831422658996</v>
      </c>
      <c r="S152" s="109">
        <f t="shared" si="12"/>
        <v>1.5607335658120769</v>
      </c>
      <c r="T152" s="109">
        <f t="shared" si="12"/>
        <v>0.74632302869326494</v>
      </c>
      <c r="U152" s="109">
        <f t="shared" si="12"/>
        <v>0.76150895355003356</v>
      </c>
      <c r="V152" s="109">
        <f t="shared" si="12"/>
        <v>0.89170818723336787</v>
      </c>
      <c r="W152" s="109">
        <f t="shared" si="12"/>
        <v>1.0040643515256296</v>
      </c>
      <c r="X152" s="109">
        <f t="shared" si="12"/>
        <v>0.84611143708297487</v>
      </c>
      <c r="Y152" s="110">
        <f t="shared" si="2"/>
        <v>1.1694658728049365</v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1:42" s="6" customFormat="1" ht="17">
      <c r="A153"/>
      <c r="B153" s="105">
        <v>8</v>
      </c>
      <c r="C153" s="104" t="s">
        <v>16</v>
      </c>
      <c r="D153" s="103" t="s">
        <v>39</v>
      </c>
      <c r="E153" s="109">
        <f t="shared" ref="E153:G153" si="13">E47/E48</f>
        <v>2.0840470618223081</v>
      </c>
      <c r="F153" s="109">
        <f t="shared" si="13"/>
        <v>2.0265677382597391</v>
      </c>
      <c r="G153" s="109">
        <f t="shared" si="13"/>
        <v>2.3221836994814407</v>
      </c>
      <c r="H153" s="109">
        <f>H47/H48</f>
        <v>1.0038868398072121</v>
      </c>
      <c r="I153" s="109">
        <f t="shared" ref="I153:M153" si="14">I47/I48</f>
        <v>1.3593787870995295</v>
      </c>
      <c r="J153" s="109">
        <f t="shared" si="14"/>
        <v>1.2477755930244834</v>
      </c>
      <c r="K153" s="109">
        <f t="shared" si="14"/>
        <v>1.426412342177759</v>
      </c>
      <c r="L153" s="109">
        <f t="shared" si="14"/>
        <v>1.1712078230074563</v>
      </c>
      <c r="M153" s="109">
        <f t="shared" si="14"/>
        <v>1.4443437544222728</v>
      </c>
      <c r="N153" s="109">
        <f>N47/N48</f>
        <v>1.3573432542155524</v>
      </c>
      <c r="O153" s="109">
        <f>O47/O48</f>
        <v>1.3274961882936545</v>
      </c>
      <c r="P153" s="109">
        <f t="shared" ref="P153:S153" si="15">P47/P48</f>
        <v>1.0984408973818769</v>
      </c>
      <c r="Q153" s="109">
        <f t="shared" si="15"/>
        <v>1.1478047616703377</v>
      </c>
      <c r="R153" s="109">
        <f t="shared" si="15"/>
        <v>1.1504238711508379</v>
      </c>
      <c r="S153" s="109">
        <f t="shared" si="15"/>
        <v>1.0424253673678154</v>
      </c>
      <c r="T153" s="109">
        <f>T47/T48</f>
        <v>0.46066890173646768</v>
      </c>
      <c r="U153" s="109">
        <f t="shared" ref="U153:X153" si="16">U47/U48</f>
        <v>0.44954326656899346</v>
      </c>
      <c r="V153" s="109">
        <f t="shared" si="16"/>
        <v>0.70458939811800603</v>
      </c>
      <c r="W153" s="109">
        <f t="shared" si="16"/>
        <v>0.7445554283003667</v>
      </c>
      <c r="X153" s="109">
        <f t="shared" si="16"/>
        <v>0.71712244066623942</v>
      </c>
      <c r="Y153" s="110">
        <f t="shared" si="2"/>
        <v>1.2143108707286177</v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1:42" s="6" customFormat="1" ht="17">
      <c r="A154"/>
      <c r="B154" s="105">
        <v>9</v>
      </c>
      <c r="C154" s="104" t="s">
        <v>17</v>
      </c>
      <c r="D154" s="103" t="s">
        <v>40</v>
      </c>
      <c r="E154" s="109">
        <f t="shared" ref="E154:G154" si="17">E53/E54</f>
        <v>1.7495520559394857</v>
      </c>
      <c r="F154" s="109">
        <f t="shared" si="17"/>
        <v>1.7495520559394857</v>
      </c>
      <c r="G154" s="109">
        <f t="shared" si="17"/>
        <v>1.6739565989746772</v>
      </c>
      <c r="H154" s="109">
        <f>H53/H54</f>
        <v>1.1344939953226687</v>
      </c>
      <c r="I154" s="109">
        <f t="shared" ref="I154:X154" si="18">I53/I54</f>
        <v>1.0209874239468308</v>
      </c>
      <c r="J154" s="109">
        <f t="shared" si="18"/>
        <v>0.88021857430858486</v>
      </c>
      <c r="K154" s="109">
        <f t="shared" si="18"/>
        <v>0.7168576367678301</v>
      </c>
      <c r="L154" s="109">
        <f t="shared" si="18"/>
        <v>0.60797264521087102</v>
      </c>
      <c r="M154" s="109">
        <f t="shared" si="18"/>
        <v>1.4313126984559328</v>
      </c>
      <c r="N154" s="109">
        <f>N53/N54</f>
        <v>1.3753402637637777</v>
      </c>
      <c r="O154" s="109">
        <f t="shared" si="18"/>
        <v>1.3181286026800605</v>
      </c>
      <c r="P154" s="109">
        <f t="shared" si="18"/>
        <v>2.3116945429684956</v>
      </c>
      <c r="Q154" s="109">
        <f t="shared" si="18"/>
        <v>2.1039050895306852</v>
      </c>
      <c r="R154" s="109">
        <f t="shared" si="18"/>
        <v>1.7372676190377281</v>
      </c>
      <c r="S154" s="109">
        <f t="shared" si="18"/>
        <v>2.0230919967587662</v>
      </c>
      <c r="T154" s="109">
        <f>T53/T54</f>
        <v>2.9335805202514553</v>
      </c>
      <c r="U154" s="109">
        <f t="shared" si="18"/>
        <v>3.1488002569326223</v>
      </c>
      <c r="V154" s="109">
        <f t="shared" si="18"/>
        <v>4.2577258572677099</v>
      </c>
      <c r="W154" s="109">
        <f t="shared" si="18"/>
        <v>4.683594967016151</v>
      </c>
      <c r="X154" s="109">
        <f t="shared" si="18"/>
        <v>4.6850331004442474</v>
      </c>
      <c r="Y154" s="110">
        <f t="shared" si="2"/>
        <v>2.0771533250759036</v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1:42" s="6" customFormat="1" ht="17">
      <c r="A155"/>
      <c r="B155" s="105">
        <v>10</v>
      </c>
      <c r="C155" s="102" t="s">
        <v>18</v>
      </c>
      <c r="D155" s="103" t="s">
        <v>41</v>
      </c>
      <c r="E155" s="109">
        <f t="shared" ref="E155:G155" si="19">E59/E60</f>
        <v>1.088288919508186</v>
      </c>
      <c r="F155" s="109">
        <f t="shared" si="19"/>
        <v>0.56695836347644346</v>
      </c>
      <c r="G155" s="109">
        <f t="shared" si="19"/>
        <v>1.3574188909334803</v>
      </c>
      <c r="H155" s="109">
        <f>H59/H60</f>
        <v>0.58038808329334612</v>
      </c>
      <c r="I155" s="109">
        <f t="shared" ref="I155:X155" si="20">I59/I60</f>
        <v>0.24998176000353795</v>
      </c>
      <c r="J155" s="109">
        <f t="shared" si="20"/>
        <v>0.28388167427488459</v>
      </c>
      <c r="K155" s="109">
        <f t="shared" si="20"/>
        <v>0.26934161216278746</v>
      </c>
      <c r="L155" s="109">
        <f t="shared" si="20"/>
        <v>0.30211904631476205</v>
      </c>
      <c r="M155" s="109">
        <f>M59/M60</f>
        <v>0.28256526381207131</v>
      </c>
      <c r="N155" s="109">
        <f t="shared" si="20"/>
        <v>0.25014844955966337</v>
      </c>
      <c r="O155" s="109">
        <f t="shared" si="20"/>
        <v>0.2974875710846932</v>
      </c>
      <c r="P155" s="109">
        <f t="shared" si="20"/>
        <v>0.28877793775019611</v>
      </c>
      <c r="Q155" s="109">
        <f t="shared" si="20"/>
        <v>0.30910428111164362</v>
      </c>
      <c r="R155" s="109">
        <f t="shared" si="20"/>
        <v>0.32355950607306522</v>
      </c>
      <c r="S155" s="109">
        <f t="shared" si="20"/>
        <v>0.3391878444918805</v>
      </c>
      <c r="T155" s="109">
        <f t="shared" si="20"/>
        <v>1.1879721139576209</v>
      </c>
      <c r="U155" s="109">
        <f t="shared" si="20"/>
        <v>1.1647235909208939</v>
      </c>
      <c r="V155" s="109">
        <f t="shared" si="20"/>
        <v>1.1096120302945029</v>
      </c>
      <c r="W155" s="109">
        <f t="shared" si="20"/>
        <v>3.2038349136271127</v>
      </c>
      <c r="X155" s="109">
        <f t="shared" si="20"/>
        <v>0.42354756447208325</v>
      </c>
      <c r="Y155" s="110">
        <f t="shared" si="2"/>
        <v>0.69394497085614293</v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1:42" s="6" customFormat="1" ht="17">
      <c r="A156"/>
      <c r="B156" s="105">
        <v>11</v>
      </c>
      <c r="C156" s="104" t="s">
        <v>19</v>
      </c>
      <c r="D156" s="103" t="s">
        <v>42</v>
      </c>
      <c r="E156" s="109">
        <f t="shared" ref="E156:G156" si="21">E65/E66</f>
        <v>1.1185124289813271</v>
      </c>
      <c r="F156" s="109">
        <f t="shared" si="21"/>
        <v>1.1185124289813271</v>
      </c>
      <c r="G156" s="109">
        <f t="shared" si="21"/>
        <v>1.2006562375894685</v>
      </c>
      <c r="H156" s="109">
        <f>H65/H66</f>
        <v>1.2684284613394321</v>
      </c>
      <c r="I156" s="109">
        <f t="shared" ref="I156:X156" si="22">I65/I66</f>
        <v>1.2386548619917066</v>
      </c>
      <c r="J156" s="109">
        <f t="shared" si="22"/>
        <v>1.2571572877697632</v>
      </c>
      <c r="K156" s="109">
        <f t="shared" si="22"/>
        <v>1.3076849935433696</v>
      </c>
      <c r="L156" s="109">
        <f t="shared" si="22"/>
        <v>1.2944742552517667</v>
      </c>
      <c r="M156" s="109">
        <f t="shared" si="22"/>
        <v>1.4089384196000612</v>
      </c>
      <c r="N156" s="109">
        <f t="shared" si="22"/>
        <v>1.3642276268308575</v>
      </c>
      <c r="O156" s="109">
        <f t="shared" si="22"/>
        <v>1.5020272668112502</v>
      </c>
      <c r="P156" s="109">
        <f t="shared" si="22"/>
        <v>1.4477222453218528</v>
      </c>
      <c r="Q156" s="109">
        <f t="shared" si="22"/>
        <v>1.9390885032666951</v>
      </c>
      <c r="R156" s="109">
        <f>R65/R66</f>
        <v>1.7420140033290594</v>
      </c>
      <c r="S156" s="109">
        <f t="shared" si="22"/>
        <v>2.0171090618809218</v>
      </c>
      <c r="T156" s="109">
        <f t="shared" si="22"/>
        <v>2.0443406842726484</v>
      </c>
      <c r="U156" s="109">
        <f t="shared" si="22"/>
        <v>2.370425463601507</v>
      </c>
      <c r="V156" s="109">
        <f t="shared" si="22"/>
        <v>2.0834689186372066</v>
      </c>
      <c r="W156" s="109">
        <f t="shared" si="22"/>
        <v>2.1993643678864245</v>
      </c>
      <c r="X156" s="109">
        <f t="shared" si="22"/>
        <v>2.4006933649947308</v>
      </c>
      <c r="Y156" s="110">
        <f t="shared" si="2"/>
        <v>1.616175044094069</v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1:42" s="6" customFormat="1" ht="17">
      <c r="A157"/>
      <c r="B157" s="105">
        <v>12</v>
      </c>
      <c r="C157" s="104" t="s">
        <v>20</v>
      </c>
      <c r="D157" s="103" t="s">
        <v>43</v>
      </c>
      <c r="E157" s="109">
        <f t="shared" ref="E157:G157" si="23">E71/E72</f>
        <v>0.25011170871458877</v>
      </c>
      <c r="F157" s="109">
        <f t="shared" si="23"/>
        <v>0.31461031548403506</v>
      </c>
      <c r="G157" s="109">
        <f t="shared" si="23"/>
        <v>0.18250258291993085</v>
      </c>
      <c r="H157" s="109">
        <f>H71/H72</f>
        <v>0.29085996214888449</v>
      </c>
      <c r="I157" s="109">
        <f t="shared" ref="I157:X157" si="24">I71/I72</f>
        <v>0.30696513123753483</v>
      </c>
      <c r="J157" s="109">
        <f t="shared" si="24"/>
        <v>0.28672807873709205</v>
      </c>
      <c r="K157" s="109">
        <f t="shared" si="24"/>
        <v>0.27233971056567391</v>
      </c>
      <c r="L157" s="109">
        <f t="shared" si="24"/>
        <v>0.27480346982987686</v>
      </c>
      <c r="M157" s="109">
        <f t="shared" si="24"/>
        <v>1.1901115047636741</v>
      </c>
      <c r="N157" s="109">
        <f t="shared" si="24"/>
        <v>1.3955378314425195</v>
      </c>
      <c r="O157" s="109">
        <f t="shared" si="24"/>
        <v>2.0059633832573893</v>
      </c>
      <c r="P157" s="109">
        <f t="shared" si="24"/>
        <v>6.3207433541282061</v>
      </c>
      <c r="Q157" s="109">
        <f>Q71/Q72</f>
        <v>7.6512680400975022</v>
      </c>
      <c r="R157" s="109">
        <f t="shared" si="24"/>
        <v>8.5063209728817863</v>
      </c>
      <c r="S157" s="109">
        <f t="shared" si="24"/>
        <v>7.8154986331379064</v>
      </c>
      <c r="T157" s="109">
        <f t="shared" si="24"/>
        <v>6.5646559558851321</v>
      </c>
      <c r="U157" s="109">
        <f t="shared" si="24"/>
        <v>7.7693309048371226</v>
      </c>
      <c r="V157" s="109">
        <f t="shared" si="24"/>
        <v>7.9899542916566793</v>
      </c>
      <c r="W157" s="109">
        <f t="shared" si="24"/>
        <v>7.847189653216974</v>
      </c>
      <c r="X157" s="109">
        <f t="shared" si="24"/>
        <v>7.5680783757438181</v>
      </c>
      <c r="Y157" s="110">
        <f t="shared" si="2"/>
        <v>3.7401786930343173</v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1:42" s="6" customFormat="1" ht="17">
      <c r="A158"/>
      <c r="B158" s="105">
        <v>13</v>
      </c>
      <c r="C158" s="104" t="s">
        <v>21</v>
      </c>
      <c r="D158" s="103" t="s">
        <v>44</v>
      </c>
      <c r="E158" s="109">
        <f t="shared" ref="E158:G158" si="25">E77/E78</f>
        <v>0.52842548156475322</v>
      </c>
      <c r="F158" s="109">
        <f t="shared" si="25"/>
        <v>0.52842548156475322</v>
      </c>
      <c r="G158" s="109">
        <f t="shared" si="25"/>
        <v>0.52842548156475322</v>
      </c>
      <c r="H158" s="109">
        <f>H77/H78</f>
        <v>0.52842548156475322</v>
      </c>
      <c r="I158" s="109">
        <f t="shared" ref="I158:X158" si="26">I77/I78</f>
        <v>5.0005014930415641E-2</v>
      </c>
      <c r="J158" s="109">
        <f t="shared" si="26"/>
        <v>0.63692524722712707</v>
      </c>
      <c r="K158" s="109">
        <f t="shared" si="26"/>
        <v>0.5172771798024639</v>
      </c>
      <c r="L158" s="109">
        <f t="shared" si="26"/>
        <v>0.45434748415481646</v>
      </c>
      <c r="M158" s="109">
        <f t="shared" si="26"/>
        <v>0.43306487061183147</v>
      </c>
      <c r="N158" s="109">
        <f t="shared" si="26"/>
        <v>0.84776209729898566</v>
      </c>
      <c r="O158" s="109">
        <f t="shared" si="26"/>
        <v>0.86969326857003004</v>
      </c>
      <c r="P158" s="109">
        <f t="shared" si="26"/>
        <v>1.1417295431272509</v>
      </c>
      <c r="Q158" s="109">
        <f t="shared" si="26"/>
        <v>1.4441383110621298</v>
      </c>
      <c r="R158" s="109">
        <f t="shared" si="26"/>
        <v>1.4441383110621298</v>
      </c>
      <c r="S158" s="109">
        <f t="shared" si="26"/>
        <v>2.4407774718329587</v>
      </c>
      <c r="T158" s="109">
        <f t="shared" si="26"/>
        <v>1.7620811290971066</v>
      </c>
      <c r="U158" s="109">
        <f t="shared" si="26"/>
        <v>2.3165414617016871</v>
      </c>
      <c r="V158" s="109">
        <f t="shared" si="26"/>
        <v>2.034557278091941</v>
      </c>
      <c r="W158" s="109">
        <f t="shared" si="26"/>
        <v>2.4327667603681311</v>
      </c>
      <c r="X158" s="109">
        <f t="shared" si="26"/>
        <v>2.2165848147198175</v>
      </c>
      <c r="Y158" s="110">
        <f t="shared" si="2"/>
        <v>1.157804608495892</v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1:42" s="6" customFormat="1" ht="17">
      <c r="A159"/>
      <c r="B159" s="105">
        <v>14</v>
      </c>
      <c r="C159" s="104" t="s">
        <v>22</v>
      </c>
      <c r="D159" s="103" t="s">
        <v>45</v>
      </c>
      <c r="E159" s="109">
        <f t="shared" ref="E159:G159" si="27">E83/E84</f>
        <v>0.40362872681364836</v>
      </c>
      <c r="F159" s="109">
        <f t="shared" si="27"/>
        <v>0.42347117713173787</v>
      </c>
      <c r="G159" s="109">
        <f t="shared" si="27"/>
        <v>0.44592744825431119</v>
      </c>
      <c r="H159" s="109">
        <f>H83/H84</f>
        <v>0.51580257878338975</v>
      </c>
      <c r="I159" s="109">
        <f t="shared" ref="I159:X159" si="28">I83/I84</f>
        <v>0.42453643125723578</v>
      </c>
      <c r="J159" s="109">
        <f t="shared" si="28"/>
        <v>0.48249533036132969</v>
      </c>
      <c r="K159" s="109">
        <f t="shared" si="28"/>
        <v>0.38702307662257551</v>
      </c>
      <c r="L159" s="109">
        <f t="shared" si="28"/>
        <v>0.36850712976609712</v>
      </c>
      <c r="M159" s="109">
        <f t="shared" si="28"/>
        <v>0.33116342324742054</v>
      </c>
      <c r="N159" s="109">
        <f t="shared" si="28"/>
        <v>0.44456397537769887</v>
      </c>
      <c r="O159" s="109">
        <f t="shared" si="28"/>
        <v>0.43247417518225295</v>
      </c>
      <c r="P159" s="109">
        <f t="shared" si="28"/>
        <v>0.42279250871935725</v>
      </c>
      <c r="Q159" s="109">
        <f t="shared" si="28"/>
        <v>0.82834935144752309</v>
      </c>
      <c r="R159" s="109">
        <f t="shared" si="28"/>
        <v>1.0329993455894715</v>
      </c>
      <c r="S159" s="109">
        <f t="shared" si="28"/>
        <v>3.2167357201949147</v>
      </c>
      <c r="T159" s="109">
        <f t="shared" si="28"/>
        <v>1.5367187574256882</v>
      </c>
      <c r="U159" s="109">
        <f t="shared" si="28"/>
        <v>1.4034819984048352</v>
      </c>
      <c r="V159" s="109">
        <f t="shared" si="28"/>
        <v>1.3711173207650436</v>
      </c>
      <c r="W159" s="109">
        <f t="shared" si="28"/>
        <v>1.309930898025472</v>
      </c>
      <c r="X159" s="109">
        <f t="shared" si="28"/>
        <v>2.9040843167056933</v>
      </c>
      <c r="Y159" s="110">
        <f t="shared" si="2"/>
        <v>0.93429018450378487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1:42" s="6" customFormat="1" ht="17">
      <c r="A160"/>
      <c r="B160" s="105">
        <v>15</v>
      </c>
      <c r="C160" s="104" t="s">
        <v>23</v>
      </c>
      <c r="D160" s="103" t="s">
        <v>46</v>
      </c>
      <c r="E160" s="109">
        <f t="shared" ref="E160:G160" si="29">E89/E90</f>
        <v>0.89521070810423808</v>
      </c>
      <c r="F160" s="109">
        <f t="shared" si="29"/>
        <v>0.89521070810423808</v>
      </c>
      <c r="G160" s="109">
        <f t="shared" si="29"/>
        <v>0.89521070810423808</v>
      </c>
      <c r="H160" s="109">
        <f>H89/H90</f>
        <v>1.6949776631244935</v>
      </c>
      <c r="I160" s="109">
        <f t="shared" ref="I160:X160" si="30">I89/I90</f>
        <v>1.4455653325268323</v>
      </c>
      <c r="J160" s="109">
        <f t="shared" si="30"/>
        <v>0.48282849894017627</v>
      </c>
      <c r="K160" s="109">
        <f t="shared" si="30"/>
        <v>1.2037617524943409</v>
      </c>
      <c r="L160" s="109">
        <f t="shared" si="30"/>
        <v>1.1021629220239402</v>
      </c>
      <c r="M160" s="109">
        <f t="shared" si="30"/>
        <v>1.1478162440910344</v>
      </c>
      <c r="N160" s="109">
        <f t="shared" si="30"/>
        <v>1.0826259368702194</v>
      </c>
      <c r="O160" s="109">
        <f t="shared" si="30"/>
        <v>1.1804690900593857</v>
      </c>
      <c r="P160" s="109">
        <f t="shared" si="30"/>
        <v>1.0266330369899566</v>
      </c>
      <c r="Q160" s="109">
        <f t="shared" si="30"/>
        <v>0.99771610037741809</v>
      </c>
      <c r="R160" s="109">
        <f t="shared" si="30"/>
        <v>1.0914918904930031</v>
      </c>
      <c r="S160" s="109">
        <f t="shared" si="30"/>
        <v>1.1590662173955435</v>
      </c>
      <c r="T160" s="109">
        <f t="shared" si="30"/>
        <v>0.49220467579625149</v>
      </c>
      <c r="U160" s="109">
        <f t="shared" si="30"/>
        <v>0.27191832997712012</v>
      </c>
      <c r="V160" s="109">
        <f t="shared" si="30"/>
        <v>0.33450025738394668</v>
      </c>
      <c r="W160" s="109">
        <f t="shared" si="30"/>
        <v>0.32281081915788379</v>
      </c>
      <c r="X160" s="109">
        <f t="shared" si="30"/>
        <v>0.30648147485523969</v>
      </c>
      <c r="Y160" s="110">
        <f t="shared" si="2"/>
        <v>0.90143311834347484</v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1:42" s="6" customFormat="1" ht="17">
      <c r="A161"/>
      <c r="B161" s="105">
        <v>16</v>
      </c>
      <c r="C161" s="104" t="s">
        <v>24</v>
      </c>
      <c r="D161" s="103" t="s">
        <v>47</v>
      </c>
      <c r="E161" s="109">
        <f t="shared" ref="E161:G161" si="31">E95/E96</f>
        <v>0.8656055362176549</v>
      </c>
      <c r="F161" s="109">
        <f t="shared" si="31"/>
        <v>0.8656055362176549</v>
      </c>
      <c r="G161" s="109">
        <f t="shared" si="31"/>
        <v>0.8656055362176549</v>
      </c>
      <c r="H161" s="109">
        <f>H95/H96</f>
        <v>1.131739024118591</v>
      </c>
      <c r="I161" s="109">
        <f t="shared" ref="I161:X161" si="32">I95/I96</f>
        <v>0.76811121520903269</v>
      </c>
      <c r="J161" s="109">
        <f t="shared" si="32"/>
        <v>0.59380416391345447</v>
      </c>
      <c r="K161" s="109">
        <f t="shared" si="32"/>
        <v>0.70050726424477849</v>
      </c>
      <c r="L161" s="109">
        <f t="shared" si="32"/>
        <v>0.66001825458695929</v>
      </c>
      <c r="M161" s="109">
        <f t="shared" si="32"/>
        <v>0.58878869963879688</v>
      </c>
      <c r="N161" s="109">
        <f t="shared" si="32"/>
        <v>0.53533808897540047</v>
      </c>
      <c r="O161" s="109">
        <f t="shared" si="32"/>
        <v>0.73098314792061947</v>
      </c>
      <c r="P161" s="109">
        <f t="shared" si="32"/>
        <v>0.6470720112414502</v>
      </c>
      <c r="Q161" s="109">
        <f t="shared" si="32"/>
        <v>0.74671644329637521</v>
      </c>
      <c r="R161" s="109">
        <f t="shared" si="32"/>
        <v>0.68040552097776652</v>
      </c>
      <c r="S161" s="109">
        <f t="shared" si="32"/>
        <v>0.893972481380227</v>
      </c>
      <c r="T161" s="109">
        <f t="shared" si="32"/>
        <v>8.2442227025648798</v>
      </c>
      <c r="U161" s="109">
        <f t="shared" si="32"/>
        <v>0.87464991824136795</v>
      </c>
      <c r="V161" s="109">
        <f t="shared" si="32"/>
        <v>0.96415687423166707</v>
      </c>
      <c r="W161" s="109">
        <f t="shared" si="32"/>
        <v>1.1184799357990372</v>
      </c>
      <c r="X161" s="109">
        <f t="shared" si="32"/>
        <v>1.1667529165071653</v>
      </c>
      <c r="Y161" s="110">
        <f t="shared" si="2"/>
        <v>1.1821267635750266</v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s="6" customFormat="1" ht="17">
      <c r="A162"/>
      <c r="B162" s="105">
        <v>17</v>
      </c>
      <c r="C162" s="104" t="s">
        <v>25</v>
      </c>
      <c r="D162" s="103" t="s">
        <v>48</v>
      </c>
      <c r="E162" s="109">
        <f t="shared" ref="E162:G162" si="33">E101/E102</f>
        <v>9.8078587863294935</v>
      </c>
      <c r="F162" s="109">
        <f t="shared" si="33"/>
        <v>9.8078587863294935</v>
      </c>
      <c r="G162" s="109">
        <f t="shared" si="33"/>
        <v>13.034491088179506</v>
      </c>
      <c r="H162" s="109">
        <f>H101/H102</f>
        <v>11.721850882689042</v>
      </c>
      <c r="I162" s="109">
        <f t="shared" ref="I162:X162" si="34">I101/I102</f>
        <v>12.489903483968021</v>
      </c>
      <c r="J162" s="109">
        <f t="shared" si="34"/>
        <v>4.1693290124553455</v>
      </c>
      <c r="K162" s="109">
        <f t="shared" si="34"/>
        <v>4.7297149424020679</v>
      </c>
      <c r="L162" s="109">
        <f t="shared" si="34"/>
        <v>4.0698805744109814</v>
      </c>
      <c r="M162" s="109">
        <f t="shared" si="34"/>
        <v>4.375296125218834</v>
      </c>
      <c r="N162" s="109">
        <f t="shared" si="34"/>
        <v>3.9208155466782277</v>
      </c>
      <c r="O162" s="109">
        <f t="shared" si="34"/>
        <v>4.5308934318151959</v>
      </c>
      <c r="P162" s="109">
        <f t="shared" si="34"/>
        <v>3.0568101191678068</v>
      </c>
      <c r="Q162" s="109">
        <f t="shared" si="34"/>
        <v>3.9819597799666129</v>
      </c>
      <c r="R162" s="109">
        <f t="shared" si="34"/>
        <v>3.324750983817331</v>
      </c>
      <c r="S162" s="109">
        <f t="shared" si="34"/>
        <v>5.6328796649634088</v>
      </c>
      <c r="T162" s="109">
        <f t="shared" si="34"/>
        <v>2.7171279238389716</v>
      </c>
      <c r="U162" s="109">
        <f t="shared" si="34"/>
        <v>3.4897653404367746</v>
      </c>
      <c r="V162" s="109">
        <f t="shared" si="34"/>
        <v>4.2924015015903061</v>
      </c>
      <c r="W162" s="109">
        <f t="shared" si="34"/>
        <v>3.5016974760935828</v>
      </c>
      <c r="X162" s="109">
        <f t="shared" si="34"/>
        <v>2.7683845829678764</v>
      </c>
      <c r="Y162" s="110">
        <f t="shared" si="2"/>
        <v>5.771183501665945</v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1:42" s="6" customFormat="1" ht="17">
      <c r="A163"/>
      <c r="B163" s="105">
        <v>18</v>
      </c>
      <c r="C163" s="104" t="s">
        <v>26</v>
      </c>
      <c r="D163" s="103" t="s">
        <v>49</v>
      </c>
      <c r="E163" s="109">
        <f t="shared" ref="E163:G163" si="35">E107/E108</f>
        <v>0.29385941499272294</v>
      </c>
      <c r="F163" s="109">
        <f t="shared" si="35"/>
        <v>0.36315672925272913</v>
      </c>
      <c r="G163" s="109">
        <f t="shared" si="35"/>
        <v>0.27572523921801084</v>
      </c>
      <c r="H163" s="109">
        <f>H107/H108</f>
        <v>0.24300485016708945</v>
      </c>
      <c r="I163" s="109">
        <f t="shared" ref="I163:X163" si="36">I107/I108</f>
        <v>0.2759813915130751</v>
      </c>
      <c r="J163" s="109">
        <f t="shared" si="36"/>
        <v>0.32315660763794979</v>
      </c>
      <c r="K163" s="109">
        <f t="shared" si="36"/>
        <v>0.3639793455265381</v>
      </c>
      <c r="L163" s="109">
        <f t="shared" si="36"/>
        <v>0.21853663723878694</v>
      </c>
      <c r="M163" s="109">
        <f t="shared" si="36"/>
        <v>0.37231637033178822</v>
      </c>
      <c r="N163" s="109">
        <f t="shared" si="36"/>
        <v>0.40178335996305725</v>
      </c>
      <c r="O163" s="109">
        <f t="shared" si="36"/>
        <v>0.35309315203798175</v>
      </c>
      <c r="P163" s="109">
        <f t="shared" si="36"/>
        <v>0.32015757484399737</v>
      </c>
      <c r="Q163" s="109">
        <f t="shared" si="36"/>
        <v>0.56695322001538617</v>
      </c>
      <c r="R163" s="109">
        <f t="shared" si="36"/>
        <v>0.39363326603299653</v>
      </c>
      <c r="S163" s="109">
        <f t="shared" si="36"/>
        <v>0.41638630479493544</v>
      </c>
      <c r="T163" s="109">
        <f t="shared" si="36"/>
        <v>0.3895118485511137</v>
      </c>
      <c r="U163" s="109">
        <f t="shared" si="36"/>
        <v>1.068460713931485</v>
      </c>
      <c r="V163" s="109">
        <f t="shared" si="36"/>
        <v>0.97683734284491441</v>
      </c>
      <c r="W163" s="109">
        <f t="shared" si="36"/>
        <v>0.91668242364705566</v>
      </c>
      <c r="X163" s="109">
        <f t="shared" si="36"/>
        <v>0.67267112643472937</v>
      </c>
      <c r="Y163" s="110">
        <f t="shared" si="2"/>
        <v>0.46029434594881707</v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1:42" s="6" customFormat="1" ht="17">
      <c r="A164"/>
      <c r="B164" s="105">
        <v>19</v>
      </c>
      <c r="C164" s="104" t="s">
        <v>27</v>
      </c>
      <c r="D164" s="103" t="s">
        <v>50</v>
      </c>
      <c r="E164" s="109">
        <f t="shared" ref="E164:G164" si="37">E113/E114</f>
        <v>2.8694915864668427</v>
      </c>
      <c r="F164" s="109">
        <f t="shared" si="37"/>
        <v>5.6656707107574364</v>
      </c>
      <c r="G164" s="109">
        <f t="shared" si="37"/>
        <v>5.4297196357771025</v>
      </c>
      <c r="H164" s="109">
        <f>H113/H114</f>
        <v>3.8760793232157047</v>
      </c>
      <c r="I164" s="109">
        <f t="shared" ref="I164:X164" si="38">I113/I114</f>
        <v>3.34942450922295</v>
      </c>
      <c r="J164" s="109">
        <f t="shared" si="38"/>
        <v>3.0191798989269296</v>
      </c>
      <c r="K164" s="109">
        <f t="shared" si="38"/>
        <v>3.1693678570741377</v>
      </c>
      <c r="L164" s="109">
        <f t="shared" si="38"/>
        <v>2.8612024923912394</v>
      </c>
      <c r="M164" s="109">
        <f t="shared" si="38"/>
        <v>2.6940012542271816</v>
      </c>
      <c r="N164" s="109">
        <f t="shared" si="38"/>
        <v>2.6383559237187169</v>
      </c>
      <c r="O164" s="109">
        <f t="shared" si="38"/>
        <v>3.1191597958114512</v>
      </c>
      <c r="P164" s="109">
        <f t="shared" si="38"/>
        <v>3.0649466223898334</v>
      </c>
      <c r="Q164" s="109">
        <f t="shared" si="38"/>
        <v>3.2373520102081486</v>
      </c>
      <c r="R164" s="109">
        <f>R113/R114</f>
        <v>3.2373520102081486</v>
      </c>
      <c r="S164" s="109">
        <f t="shared" si="38"/>
        <v>3.0403142805244694</v>
      </c>
      <c r="T164" s="109">
        <f t="shared" si="38"/>
        <v>2.6003101842121876</v>
      </c>
      <c r="U164" s="109">
        <f t="shared" si="38"/>
        <v>2.5036762132616301</v>
      </c>
      <c r="V164" s="109">
        <f t="shared" si="38"/>
        <v>2.3277395189474994</v>
      </c>
      <c r="W164" s="109">
        <f t="shared" si="38"/>
        <v>2.04197567184969</v>
      </c>
      <c r="X164" s="109">
        <f t="shared" si="38"/>
        <v>1.7722757429303209</v>
      </c>
      <c r="Y164" s="110">
        <f t="shared" si="2"/>
        <v>3.1258797621060812</v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1:42" s="6" customFormat="1" ht="17">
      <c r="A165"/>
      <c r="B165" s="105">
        <v>20</v>
      </c>
      <c r="C165" s="102" t="s">
        <v>28</v>
      </c>
      <c r="D165" s="103" t="s">
        <v>51</v>
      </c>
      <c r="E165" s="109">
        <f t="shared" ref="E165:G165" si="39">E119/E120</f>
        <v>1.0874751429231577</v>
      </c>
      <c r="F165" s="109">
        <f t="shared" si="39"/>
        <v>1.0874751429231577</v>
      </c>
      <c r="G165" s="109">
        <f t="shared" si="39"/>
        <v>1.0874751429231577</v>
      </c>
      <c r="H165" s="109">
        <f>H119/H120</f>
        <v>1.0047558440965609</v>
      </c>
      <c r="I165" s="109">
        <f t="shared" ref="I165:W165" si="40">I119/I120</f>
        <v>1.0271527742894162</v>
      </c>
      <c r="J165" s="109">
        <f t="shared" si="40"/>
        <v>1.0649032316861313</v>
      </c>
      <c r="K165" s="109">
        <f t="shared" si="40"/>
        <v>1.0258544539469341</v>
      </c>
      <c r="L165" s="109">
        <f t="shared" si="40"/>
        <v>0.76135172914655858</v>
      </c>
      <c r="M165" s="109">
        <f t="shared" si="40"/>
        <v>0.38029408978098772</v>
      </c>
      <c r="N165" s="109">
        <f t="shared" si="40"/>
        <v>0.50681271036350306</v>
      </c>
      <c r="O165" s="109">
        <f t="shared" si="40"/>
        <v>0.42514436994941635</v>
      </c>
      <c r="P165" s="109">
        <f t="shared" si="40"/>
        <v>0.53463746015758307</v>
      </c>
      <c r="Q165" s="109">
        <f t="shared" si="40"/>
        <v>0.69489871675128378</v>
      </c>
      <c r="R165" s="109">
        <f>R119/R120</f>
        <v>0.62115119937457652</v>
      </c>
      <c r="S165" s="109">
        <f t="shared" si="40"/>
        <v>5.4172911629527365E-2</v>
      </c>
      <c r="T165" s="109">
        <f t="shared" si="40"/>
        <v>0.66246513313697564</v>
      </c>
      <c r="U165" s="109">
        <f t="shared" si="40"/>
        <v>0.66441460910172545</v>
      </c>
      <c r="V165" s="109">
        <f t="shared" si="40"/>
        <v>0.64169724489458502</v>
      </c>
      <c r="W165" s="109">
        <f t="shared" si="40"/>
        <v>0.59904731855796722</v>
      </c>
      <c r="X165" s="109">
        <v>0.59904731855796722</v>
      </c>
      <c r="Y165" s="110">
        <f t="shared" si="2"/>
        <v>0.7265113272095588</v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1:42" s="6" customFormat="1" ht="17">
      <c r="A166"/>
      <c r="B166" s="105">
        <v>21</v>
      </c>
      <c r="C166" s="104" t="s">
        <v>29</v>
      </c>
      <c r="D166" s="103" t="s">
        <v>52</v>
      </c>
      <c r="E166" s="109">
        <f t="shared" ref="E166:G166" si="41">E125/E126</f>
        <v>0.16310474912705275</v>
      </c>
      <c r="F166" s="109">
        <f t="shared" si="41"/>
        <v>0.16310474912705275</v>
      </c>
      <c r="G166" s="109">
        <f t="shared" si="41"/>
        <v>0.15752827719368948</v>
      </c>
      <c r="H166" s="109">
        <f>H125/H126</f>
        <v>0.13321685952589776</v>
      </c>
      <c r="I166" s="109">
        <f t="shared" ref="I166:X166" si="42">I125/I126</f>
        <v>0.13901288673297227</v>
      </c>
      <c r="J166" s="109">
        <f t="shared" si="42"/>
        <v>7.8661326236779142E-2</v>
      </c>
      <c r="K166" s="109">
        <f t="shared" si="42"/>
        <v>0.11113116616048252</v>
      </c>
      <c r="L166" s="109">
        <f t="shared" si="42"/>
        <v>0.11193594969781591</v>
      </c>
      <c r="M166" s="109">
        <f t="shared" si="42"/>
        <v>0.14487489437045981</v>
      </c>
      <c r="N166" s="109">
        <f t="shared" si="42"/>
        <v>0.11747560128205253</v>
      </c>
      <c r="O166" s="109">
        <f t="shared" si="42"/>
        <v>0.14331749729020427</v>
      </c>
      <c r="P166" s="109">
        <f t="shared" si="42"/>
        <v>8.3970231877589674E-2</v>
      </c>
      <c r="Q166" s="109">
        <f>Q125/Q126</f>
        <v>9.904067206604622E-2</v>
      </c>
      <c r="R166" s="109">
        <f t="shared" si="42"/>
        <v>7.3134412111043934E-2</v>
      </c>
      <c r="S166" s="109">
        <f t="shared" si="42"/>
        <v>7.8470843062114465E-2</v>
      </c>
      <c r="T166" s="109">
        <f t="shared" si="42"/>
        <v>0.14074072562719886</v>
      </c>
      <c r="U166" s="109">
        <f t="shared" si="42"/>
        <v>0.14664343993548604</v>
      </c>
      <c r="V166" s="109">
        <f t="shared" si="42"/>
        <v>0.13056729030391701</v>
      </c>
      <c r="W166" s="109">
        <f t="shared" si="42"/>
        <v>0.11106339601777585</v>
      </c>
      <c r="X166" s="109">
        <f t="shared" si="42"/>
        <v>0.10328717698489373</v>
      </c>
      <c r="Y166" s="110">
        <f t="shared" si="2"/>
        <v>0.12151410723652625</v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1:42" s="6" customFormat="1" ht="17">
      <c r="A167"/>
      <c r="B167" s="105">
        <v>22</v>
      </c>
      <c r="C167" s="104" t="s">
        <v>30</v>
      </c>
      <c r="D167" s="103" t="s">
        <v>53</v>
      </c>
      <c r="E167" s="109">
        <f>E131/E132</f>
        <v>0.86335888678465722</v>
      </c>
      <c r="F167" s="109">
        <f>F131/F132</f>
        <v>0.79612294823596164</v>
      </c>
      <c r="G167" s="109">
        <f>G131/G132</f>
        <v>0.87731744083933949</v>
      </c>
      <c r="H167" s="109">
        <f>H131/H132</f>
        <v>0.84362692086165192</v>
      </c>
      <c r="I167" s="109">
        <f t="shared" ref="I167:X167" si="43">I131/I132</f>
        <v>0.69221419479643664</v>
      </c>
      <c r="J167" s="109">
        <f t="shared" si="43"/>
        <v>0.90314019193397777</v>
      </c>
      <c r="K167" s="109">
        <f t="shared" si="43"/>
        <v>0.82635962597935131</v>
      </c>
      <c r="L167" s="109">
        <f t="shared" si="43"/>
        <v>0.85957781857338433</v>
      </c>
      <c r="M167" s="109">
        <f t="shared" si="43"/>
        <v>0.89567713316982989</v>
      </c>
      <c r="N167" s="109">
        <f t="shared" si="43"/>
        <v>0.86185251423270492</v>
      </c>
      <c r="O167" s="109">
        <f t="shared" si="43"/>
        <v>0.86592898487458281</v>
      </c>
      <c r="P167" s="109">
        <f t="shared" si="43"/>
        <v>0.82703264042288138</v>
      </c>
      <c r="Q167" s="109">
        <f>Q131/Q132</f>
        <v>0.95123419295547662</v>
      </c>
      <c r="R167" s="109">
        <f t="shared" si="43"/>
        <v>0.74372185545312952</v>
      </c>
      <c r="S167" s="109">
        <f t="shared" si="43"/>
        <v>0.72066246914673382</v>
      </c>
      <c r="T167" s="109">
        <f t="shared" si="43"/>
        <v>0.71443255606661837</v>
      </c>
      <c r="U167" s="109">
        <f t="shared" si="43"/>
        <v>0.77354405455944053</v>
      </c>
      <c r="V167" s="109">
        <f t="shared" si="43"/>
        <v>0.85462427711781841</v>
      </c>
      <c r="W167" s="109">
        <f t="shared" si="43"/>
        <v>0.90784967422591223</v>
      </c>
      <c r="X167" s="109">
        <f t="shared" si="43"/>
        <v>0.915317769079937</v>
      </c>
      <c r="Y167" s="110">
        <f t="shared" si="2"/>
        <v>0.83467980746549109</v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1:42" s="6" customFormat="1" ht="17">
      <c r="A168"/>
      <c r="B168" s="105">
        <v>23</v>
      </c>
      <c r="C168" s="104" t="s">
        <v>31</v>
      </c>
      <c r="D168" s="103" t="s">
        <v>54</v>
      </c>
      <c r="E168" s="109">
        <f>E137/E138</f>
        <v>0.60849865331148767</v>
      </c>
      <c r="F168" s="109">
        <f>F137/F138</f>
        <v>0.67042137501969612</v>
      </c>
      <c r="G168" s="109">
        <f>G137/G138</f>
        <v>0.5261140024422436</v>
      </c>
      <c r="H168" s="109">
        <f>H137/H138</f>
        <v>0.5261140024422436</v>
      </c>
      <c r="I168" s="109">
        <f t="shared" ref="I168:X168" si="44">I137/I138</f>
        <v>0.63416041550008206</v>
      </c>
      <c r="J168" s="109">
        <f t="shared" si="44"/>
        <v>0.61599108034066963</v>
      </c>
      <c r="K168" s="109">
        <f t="shared" si="44"/>
        <v>0.52282702960918859</v>
      </c>
      <c r="L168" s="109">
        <f t="shared" si="44"/>
        <v>0.43682512858745026</v>
      </c>
      <c r="M168" s="109">
        <f t="shared" si="44"/>
        <v>0.74560893122064209</v>
      </c>
      <c r="N168" s="109">
        <f t="shared" si="44"/>
        <v>0.77175510239518519</v>
      </c>
      <c r="O168" s="109">
        <f t="shared" si="44"/>
        <v>1.0779922085203519</v>
      </c>
      <c r="P168" s="109">
        <f t="shared" si="44"/>
        <v>0.89774195226411879</v>
      </c>
      <c r="Q168" s="109">
        <f>Q137/Q138</f>
        <v>1.1994572782253257</v>
      </c>
      <c r="R168" s="109">
        <f t="shared" si="44"/>
        <v>1.0967832853618462</v>
      </c>
      <c r="S168" s="109">
        <f t="shared" si="44"/>
        <v>1.0575131822317376</v>
      </c>
      <c r="T168" s="109">
        <f t="shared" si="44"/>
        <v>0.86216764418726788</v>
      </c>
      <c r="U168" s="109">
        <f t="shared" si="44"/>
        <v>0.92900350075386029</v>
      </c>
      <c r="V168" s="109">
        <f t="shared" si="44"/>
        <v>0.89413610890737549</v>
      </c>
      <c r="W168" s="109">
        <f t="shared" si="44"/>
        <v>0.95998761981852954</v>
      </c>
      <c r="X168" s="109">
        <f t="shared" si="44"/>
        <v>0.8814270334927562</v>
      </c>
      <c r="Y168" s="110">
        <f t="shared" si="2"/>
        <v>0.7957262767316029</v>
      </c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1:42" s="6" customFormat="1">
      <c r="A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1:42" s="6" customFormat="1">
      <c r="A170"/>
      <c r="L170" s="108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1:42" s="6" customFormat="1">
      <c r="A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1:42" s="10" customFormat="1">
      <c r="A172"/>
      <c r="B172" s="98" t="s">
        <v>0</v>
      </c>
      <c r="C172" s="95" t="s">
        <v>1</v>
      </c>
      <c r="D172" s="95" t="s">
        <v>2</v>
      </c>
      <c r="E172" s="173">
        <v>2019</v>
      </c>
      <c r="F172" s="173"/>
      <c r="G172" s="173"/>
      <c r="H172" s="173"/>
      <c r="I172" s="173">
        <v>2020</v>
      </c>
      <c r="J172" s="173"/>
      <c r="K172" s="173"/>
      <c r="L172" s="173"/>
      <c r="M172" s="173">
        <v>2021</v>
      </c>
      <c r="N172" s="173"/>
      <c r="O172" s="173"/>
      <c r="P172" s="173"/>
      <c r="Q172" s="173">
        <v>2022</v>
      </c>
      <c r="R172" s="173"/>
      <c r="S172" s="173"/>
      <c r="T172" s="173"/>
      <c r="U172" s="173">
        <v>2023</v>
      </c>
      <c r="V172" s="173"/>
      <c r="W172" s="173"/>
      <c r="X172" s="173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1:42" s="6" customFormat="1" hidden="1">
      <c r="A173"/>
      <c r="B173" s="101"/>
      <c r="C173" s="101"/>
      <c r="D173" s="101"/>
      <c r="E173" s="175">
        <v>2019</v>
      </c>
      <c r="F173" s="175"/>
      <c r="G173" s="175"/>
      <c r="H173" s="175"/>
      <c r="I173" s="175">
        <v>2020</v>
      </c>
      <c r="J173" s="175"/>
      <c r="K173" s="175"/>
      <c r="L173" s="175"/>
      <c r="M173" s="175">
        <v>2021</v>
      </c>
      <c r="N173" s="175"/>
      <c r="O173" s="175"/>
      <c r="P173" s="175"/>
      <c r="Q173" s="175">
        <v>2022</v>
      </c>
      <c r="R173" s="175"/>
      <c r="S173" s="175"/>
      <c r="T173" s="175"/>
      <c r="U173" s="175">
        <v>2023</v>
      </c>
      <c r="V173" s="175"/>
      <c r="W173" s="175"/>
      <c r="X173" s="175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1:42" s="6" customFormat="1">
      <c r="A174"/>
      <c r="B174" s="101"/>
      <c r="C174" s="101"/>
      <c r="D174" s="101"/>
      <c r="E174" s="105" t="s">
        <v>5</v>
      </c>
      <c r="F174" s="105" t="s">
        <v>6</v>
      </c>
      <c r="G174" s="105" t="s">
        <v>7</v>
      </c>
      <c r="H174" s="105" t="s">
        <v>8</v>
      </c>
      <c r="I174" s="105" t="s">
        <v>5</v>
      </c>
      <c r="J174" s="105" t="s">
        <v>6</v>
      </c>
      <c r="K174" s="105" t="s">
        <v>7</v>
      </c>
      <c r="L174" s="105" t="s">
        <v>8</v>
      </c>
      <c r="M174" s="105" t="s">
        <v>5</v>
      </c>
      <c r="N174" s="105" t="s">
        <v>6</v>
      </c>
      <c r="O174" s="105" t="s">
        <v>7</v>
      </c>
      <c r="P174" s="105" t="s">
        <v>8</v>
      </c>
      <c r="Q174" s="105" t="s">
        <v>5</v>
      </c>
      <c r="R174" s="105" t="s">
        <v>6</v>
      </c>
      <c r="S174" s="105" t="s">
        <v>7</v>
      </c>
      <c r="T174" s="105" t="s">
        <v>8</v>
      </c>
      <c r="U174" s="105" t="s">
        <v>5</v>
      </c>
      <c r="V174" s="105" t="s">
        <v>6</v>
      </c>
      <c r="W174" s="105" t="s">
        <v>7</v>
      </c>
      <c r="X174" s="105" t="s">
        <v>8</v>
      </c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1:42" s="6" customFormat="1" ht="17">
      <c r="A175"/>
      <c r="B175" s="105">
        <v>1</v>
      </c>
      <c r="C175" s="102" t="s">
        <v>9</v>
      </c>
      <c r="D175" s="103" t="s">
        <v>32</v>
      </c>
      <c r="E175" s="111">
        <f t="shared" ref="E175:X175" si="45">E7/E8</f>
        <v>7.5806817680827671E-2</v>
      </c>
      <c r="F175" s="111">
        <f t="shared" si="45"/>
        <v>7.1378135245696889E-2</v>
      </c>
      <c r="G175" s="111">
        <f t="shared" si="45"/>
        <v>7.0047343219972302E-2</v>
      </c>
      <c r="H175" s="111">
        <f t="shared" si="45"/>
        <v>6.6925501451664204E-2</v>
      </c>
      <c r="I175" s="111">
        <f t="shared" si="45"/>
        <v>6.2553406604807488E-2</v>
      </c>
      <c r="J175" s="111">
        <f t="shared" si="45"/>
        <v>7.8515984642119951E-2</v>
      </c>
      <c r="K175" s="111">
        <f t="shared" si="45"/>
        <v>6.560209957265549E-2</v>
      </c>
      <c r="L175" s="111">
        <f t="shared" si="45"/>
        <v>6.2024249417232516E-2</v>
      </c>
      <c r="M175" s="111">
        <f t="shared" si="45"/>
        <v>6.893524488680805E-2</v>
      </c>
      <c r="N175" s="111">
        <f t="shared" si="45"/>
        <v>6.9109871944246198E-2</v>
      </c>
      <c r="O175" s="111">
        <f t="shared" si="45"/>
        <v>6.2874563975977668E-2</v>
      </c>
      <c r="P175" s="111">
        <f t="shared" si="45"/>
        <v>8.7836371749948697E-2</v>
      </c>
      <c r="Q175" s="111">
        <f t="shared" si="45"/>
        <v>6.4945018202302709E-2</v>
      </c>
      <c r="R175" s="111">
        <f t="shared" si="45"/>
        <v>5.4557740784604312E-2</v>
      </c>
      <c r="S175" s="111">
        <f t="shared" si="45"/>
        <v>8.1256587688430068E-2</v>
      </c>
      <c r="T175" s="111">
        <f t="shared" si="45"/>
        <v>0.11993867017212358</v>
      </c>
      <c r="U175" s="111">
        <f t="shared" si="45"/>
        <v>0.10771506160097967</v>
      </c>
      <c r="V175" s="111">
        <f t="shared" si="45"/>
        <v>0.11929016854018014</v>
      </c>
      <c r="W175" s="111">
        <f t="shared" si="45"/>
        <v>0.10971676720915792</v>
      </c>
      <c r="X175" s="111">
        <f t="shared" si="45"/>
        <v>0.14351422255082252</v>
      </c>
      <c r="Y175" s="110">
        <f t="shared" ref="Y175:Y197" si="46">AVERAGE(E175:X175)</f>
        <v>8.2127191357027909E-2</v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1:42" s="6" customFormat="1" ht="17">
      <c r="A176"/>
      <c r="B176" s="105">
        <v>2</v>
      </c>
      <c r="C176" s="104" t="s">
        <v>10</v>
      </c>
      <c r="D176" s="103" t="s">
        <v>33</v>
      </c>
      <c r="E176" s="111">
        <f t="shared" ref="E176:X176" si="47">E13/E14</f>
        <v>0.1246265874379556</v>
      </c>
      <c r="F176" s="111">
        <f t="shared" si="47"/>
        <v>0.11660579088403913</v>
      </c>
      <c r="G176" s="111">
        <f t="shared" si="47"/>
        <v>0.1194220648938437</v>
      </c>
      <c r="H176" s="111">
        <f t="shared" si="47"/>
        <v>0.12756818018842322</v>
      </c>
      <c r="I176" s="111">
        <f t="shared" si="47"/>
        <v>0.11041410432494403</v>
      </c>
      <c r="J176" s="111">
        <f t="shared" si="47"/>
        <v>9.991863413786306E-2</v>
      </c>
      <c r="K176" s="111">
        <f t="shared" si="47"/>
        <v>9.1686755731405944E-2</v>
      </c>
      <c r="L176" s="111">
        <f t="shared" si="47"/>
        <v>0.11219855644111081</v>
      </c>
      <c r="M176" s="111">
        <f t="shared" si="47"/>
        <v>6.3479043535741977E-2</v>
      </c>
      <c r="N176" s="111">
        <f t="shared" si="47"/>
        <v>9.1073312357894912E-2</v>
      </c>
      <c r="O176" s="111">
        <f t="shared" si="47"/>
        <v>0.10125876684722952</v>
      </c>
      <c r="P176" s="111">
        <f t="shared" si="47"/>
        <v>0.10065623008440854</v>
      </c>
      <c r="Q176" s="111">
        <f t="shared" si="47"/>
        <v>9.580249236953306E-2</v>
      </c>
      <c r="R176" s="111">
        <f t="shared" si="47"/>
        <v>0.10009005359607148</v>
      </c>
      <c r="S176" s="111">
        <f t="shared" si="47"/>
        <v>0.13594858108711949</v>
      </c>
      <c r="T176" s="111">
        <f t="shared" si="47"/>
        <v>0.16091827229737718</v>
      </c>
      <c r="U176" s="111">
        <f t="shared" si="47"/>
        <v>0.16101058208089719</v>
      </c>
      <c r="V176" s="111">
        <f t="shared" si="47"/>
        <v>0.19551226006673458</v>
      </c>
      <c r="W176" s="111">
        <f t="shared" si="47"/>
        <v>0.15280218480917679</v>
      </c>
      <c r="X176" s="111">
        <f t="shared" si="47"/>
        <v>0.16264622441824414</v>
      </c>
      <c r="Y176" s="110">
        <f t="shared" si="46"/>
        <v>0.12118193387950071</v>
      </c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1:42" s="6" customFormat="1" ht="17">
      <c r="A177"/>
      <c r="B177" s="105">
        <v>3</v>
      </c>
      <c r="C177" s="104" t="s">
        <v>11</v>
      </c>
      <c r="D177" s="103" t="s">
        <v>34</v>
      </c>
      <c r="E177" s="111">
        <f t="shared" ref="E177:G177" si="48">E19/E20</f>
        <v>0.30446134219247012</v>
      </c>
      <c r="F177" s="111">
        <f t="shared" si="48"/>
        <v>0.30965962702164979</v>
      </c>
      <c r="G177" s="111">
        <f t="shared" si="48"/>
        <v>0.29185581120172244</v>
      </c>
      <c r="H177" s="111">
        <f>H19/H20</f>
        <v>0.75709755413371949</v>
      </c>
      <c r="I177" s="111">
        <f t="shared" ref="I177:X177" si="49">I19/I20</f>
        <v>0.36624817827282558</v>
      </c>
      <c r="J177" s="111">
        <f t="shared" si="49"/>
        <v>0.58202092862307375</v>
      </c>
      <c r="K177" s="111">
        <f t="shared" si="49"/>
        <v>0.48210937919536984</v>
      </c>
      <c r="L177" s="111">
        <f t="shared" si="49"/>
        <v>0.63057269878527666</v>
      </c>
      <c r="M177" s="111">
        <f t="shared" si="49"/>
        <v>0.50494006824875648</v>
      </c>
      <c r="N177" s="111">
        <f t="shared" si="49"/>
        <v>0.4164292164058328</v>
      </c>
      <c r="O177" s="111">
        <f t="shared" si="49"/>
        <v>0.36272327271413246</v>
      </c>
      <c r="P177" s="111">
        <f t="shared" si="49"/>
        <v>0.39771594214363826</v>
      </c>
      <c r="Q177" s="111">
        <f t="shared" si="49"/>
        <v>0.3609733911565024</v>
      </c>
      <c r="R177" s="111">
        <f t="shared" si="49"/>
        <v>0.34212460032104502</v>
      </c>
      <c r="S177" s="111">
        <f t="shared" si="49"/>
        <v>0.3287877658033716</v>
      </c>
      <c r="T177" s="111">
        <f t="shared" si="49"/>
        <v>0.33662130548511499</v>
      </c>
      <c r="U177" s="111">
        <f t="shared" si="49"/>
        <v>0.30214345191630304</v>
      </c>
      <c r="V177" s="111">
        <f t="shared" si="49"/>
        <v>0.26928385374955344</v>
      </c>
      <c r="W177" s="111">
        <f t="shared" si="49"/>
        <v>0.33161739032932425</v>
      </c>
      <c r="X177" s="111">
        <f t="shared" si="49"/>
        <v>0.40336968749721697</v>
      </c>
      <c r="Y177" s="110">
        <f t="shared" si="46"/>
        <v>0.40403777325984491</v>
      </c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1:42" s="6" customFormat="1" ht="17">
      <c r="A178"/>
      <c r="B178" s="105">
        <v>4</v>
      </c>
      <c r="C178" s="104" t="s">
        <v>12</v>
      </c>
      <c r="D178" s="103" t="s">
        <v>35</v>
      </c>
      <c r="E178" s="111">
        <f t="shared" ref="E178:G178" si="50">E25/E26</f>
        <v>0.13497665849601173</v>
      </c>
      <c r="F178" s="111">
        <f t="shared" si="50"/>
        <v>0.13237825026275296</v>
      </c>
      <c r="G178" s="111">
        <f t="shared" si="50"/>
        <v>0.14098059012804665</v>
      </c>
      <c r="H178" s="111">
        <f>H25/H26</f>
        <v>0.14640954896243472</v>
      </c>
      <c r="I178" s="111">
        <f t="shared" ref="I178:X178" si="51">I25/I26</f>
        <v>1.1492338246423267E-2</v>
      </c>
      <c r="J178" s="111">
        <f t="shared" si="51"/>
        <v>0.13929596265334754</v>
      </c>
      <c r="K178" s="111">
        <f t="shared" si="51"/>
        <v>5.3902017857401736E-2</v>
      </c>
      <c r="L178" s="111">
        <f t="shared" si="51"/>
        <v>6.8073106254775528E-2</v>
      </c>
      <c r="M178" s="111">
        <f t="shared" si="51"/>
        <v>6.7080255486605456E-2</v>
      </c>
      <c r="N178" s="111">
        <f t="shared" si="51"/>
        <v>8.2272022746297718E-2</v>
      </c>
      <c r="O178" s="111">
        <f t="shared" si="51"/>
        <v>6.1032492460404382E-2</v>
      </c>
      <c r="P178" s="111">
        <f t="shared" si="51"/>
        <v>0.11684995325195582</v>
      </c>
      <c r="Q178" s="111">
        <f>Q25/Q26</f>
        <v>0.10132306806025185</v>
      </c>
      <c r="R178" s="111">
        <f t="shared" si="51"/>
        <v>0.1301654366350421</v>
      </c>
      <c r="S178" s="111">
        <f t="shared" si="51"/>
        <v>0.14381762681702864</v>
      </c>
      <c r="T178" s="111">
        <f t="shared" si="51"/>
        <v>0.15686245495534704</v>
      </c>
      <c r="U178" s="111">
        <f t="shared" si="51"/>
        <v>0.14832740175170964</v>
      </c>
      <c r="V178" s="111">
        <f t="shared" si="51"/>
        <v>0.14243696729460725</v>
      </c>
      <c r="W178" s="111">
        <f t="shared" si="51"/>
        <v>0.15412803756364782</v>
      </c>
      <c r="X178" s="111">
        <f t="shared" si="51"/>
        <v>0.15739389759458294</v>
      </c>
      <c r="Y178" s="110">
        <f t="shared" si="46"/>
        <v>0.11445990437393375</v>
      </c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1:42" s="6" customFormat="1" ht="17">
      <c r="A179"/>
      <c r="B179" s="105">
        <v>5</v>
      </c>
      <c r="C179" s="104" t="s">
        <v>13</v>
      </c>
      <c r="D179" s="103" t="s">
        <v>36</v>
      </c>
      <c r="E179" s="111">
        <f t="shared" ref="E179:G179" si="52">E31/E32</f>
        <v>0.50999153651617224</v>
      </c>
      <c r="F179" s="111">
        <f t="shared" si="52"/>
        <v>0.63574783520730149</v>
      </c>
      <c r="G179" s="111">
        <f t="shared" si="52"/>
        <v>0.70146489015634206</v>
      </c>
      <c r="H179" s="111">
        <f>H31/H32</f>
        <v>0.72019745916457045</v>
      </c>
      <c r="I179" s="111">
        <f t="shared" ref="I179:X179" si="53">I31/I32</f>
        <v>0.18229269752662094</v>
      </c>
      <c r="J179" s="111">
        <f t="shared" si="53"/>
        <v>2.5374828417967588E-3</v>
      </c>
      <c r="K179" s="111">
        <f t="shared" si="53"/>
        <v>8.0242243386607348E-3</v>
      </c>
      <c r="L179" s="111">
        <f t="shared" si="53"/>
        <v>3.5326862791028077E-2</v>
      </c>
      <c r="M179" s="111">
        <f t="shared" si="53"/>
        <v>3.8309670418082128E-2</v>
      </c>
      <c r="N179" s="111">
        <f t="shared" si="53"/>
        <v>4.1184350493441789E-2</v>
      </c>
      <c r="O179" s="111">
        <f t="shared" si="53"/>
        <v>6.4073147932220574E-3</v>
      </c>
      <c r="P179" s="111">
        <f t="shared" si="53"/>
        <v>2.6875661917925127E-2</v>
      </c>
      <c r="Q179" s="111">
        <f t="shared" si="53"/>
        <v>5.5521064975749913E-2</v>
      </c>
      <c r="R179" s="111">
        <f t="shared" si="53"/>
        <v>0.17151554151921794</v>
      </c>
      <c r="S179" s="111">
        <f t="shared" si="53"/>
        <v>0.28477456177233762</v>
      </c>
      <c r="T179" s="111">
        <f t="shared" si="53"/>
        <v>0.23757738149257365</v>
      </c>
      <c r="U179" s="111">
        <f t="shared" si="53"/>
        <v>0.2295263978522635</v>
      </c>
      <c r="V179" s="111">
        <f t="shared" si="53"/>
        <v>0.27842285610194828</v>
      </c>
      <c r="W179" s="111">
        <f t="shared" si="53"/>
        <v>0.32760865272998324</v>
      </c>
      <c r="X179" s="111">
        <f t="shared" si="53"/>
        <v>0.27655041882447795</v>
      </c>
      <c r="Y179" s="110">
        <f t="shared" si="46"/>
        <v>0.23849284307168578</v>
      </c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1:42" s="6" customFormat="1" ht="17">
      <c r="A180"/>
      <c r="B180" s="105">
        <v>6</v>
      </c>
      <c r="C180" s="104" t="s">
        <v>14</v>
      </c>
      <c r="D180" s="103" t="s">
        <v>37</v>
      </c>
      <c r="E180" s="111">
        <f t="shared" ref="E180:G180" si="54">E37/E38</f>
        <v>0.24258603083470126</v>
      </c>
      <c r="F180" s="111">
        <f t="shared" si="54"/>
        <v>0.24994617487328885</v>
      </c>
      <c r="G180" s="111">
        <f t="shared" si="54"/>
        <v>0.30501867241597286</v>
      </c>
      <c r="H180" s="111">
        <f>H37/H38</f>
        <v>0.23165183831888034</v>
      </c>
      <c r="I180" s="111">
        <f t="shared" ref="I180:X180" si="55">I37/I38</f>
        <v>8.3990488258316912E-2</v>
      </c>
      <c r="J180" s="111">
        <f t="shared" si="55"/>
        <v>1.4499650150361658E-2</v>
      </c>
      <c r="K180" s="111">
        <f t="shared" si="55"/>
        <v>2.2360457646055772E-2</v>
      </c>
      <c r="L180" s="111">
        <f t="shared" si="55"/>
        <v>3.2767327433757779E-2</v>
      </c>
      <c r="M180" s="111">
        <f t="shared" si="55"/>
        <v>3.3375119204300419E-2</v>
      </c>
      <c r="N180" s="111">
        <f t="shared" si="55"/>
        <v>3.398323842509942E-2</v>
      </c>
      <c r="O180" s="111">
        <f t="shared" si="55"/>
        <v>2.5709725467398418E-2</v>
      </c>
      <c r="P180" s="111">
        <f t="shared" si="55"/>
        <v>5.5284805883910784E-2</v>
      </c>
      <c r="Q180" s="111">
        <f t="shared" si="55"/>
        <v>4.9679341457643737E-2</v>
      </c>
      <c r="R180" s="111">
        <f t="shared" si="55"/>
        <v>9.0200477818800737E-2</v>
      </c>
      <c r="S180" s="111">
        <f t="shared" si="55"/>
        <v>0.10652321600039273</v>
      </c>
      <c r="T180" s="111">
        <f>T37/T38</f>
        <v>9.5326474965618496E-2</v>
      </c>
      <c r="U180" s="111">
        <f t="shared" si="55"/>
        <v>9.747806486974403E-2</v>
      </c>
      <c r="V180" s="111">
        <f t="shared" si="55"/>
        <v>0.12620004000094004</v>
      </c>
      <c r="W180" s="111">
        <f t="shared" si="55"/>
        <v>0.13604427717239395</v>
      </c>
      <c r="X180" s="111">
        <f t="shared" si="55"/>
        <v>0.10455101517080587</v>
      </c>
      <c r="Y180" s="110">
        <f t="shared" si="46"/>
        <v>0.10685882181841919</v>
      </c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1:42" s="6" customFormat="1" ht="17">
      <c r="A181"/>
      <c r="B181" s="105">
        <v>7</v>
      </c>
      <c r="C181" s="104" t="s">
        <v>15</v>
      </c>
      <c r="D181" s="103" t="s">
        <v>38</v>
      </c>
      <c r="E181" s="111">
        <f t="shared" ref="E181:G181" si="56">E43/E44</f>
        <v>7.3149315405093937E-2</v>
      </c>
      <c r="F181" s="111">
        <f t="shared" si="56"/>
        <v>0.12323274243274721</v>
      </c>
      <c r="G181" s="111">
        <f t="shared" si="56"/>
        <v>9.2980617854024436E-2</v>
      </c>
      <c r="H181" s="111">
        <f>H43/H44</f>
        <v>0.115828455180923</v>
      </c>
      <c r="I181" s="111">
        <f t="shared" ref="I181:X181" si="57">I43/I44</f>
        <v>6.9612612451810149E-2</v>
      </c>
      <c r="J181" s="111">
        <f t="shared" si="57"/>
        <v>3.6273177877410093E-2</v>
      </c>
      <c r="K181" s="111">
        <f t="shared" si="57"/>
        <v>5.8959765207825282E-2</v>
      </c>
      <c r="L181" s="111">
        <f t="shared" si="57"/>
        <v>6.4709481080286305E-2</v>
      </c>
      <c r="M181" s="111">
        <f t="shared" si="57"/>
        <v>6.5019614386615826E-2</v>
      </c>
      <c r="N181" s="111">
        <f t="shared" si="57"/>
        <v>7.6636564844739033E-2</v>
      </c>
      <c r="O181" s="111">
        <f t="shared" si="57"/>
        <v>5.7727929304437708E-2</v>
      </c>
      <c r="P181" s="111">
        <f t="shared" si="57"/>
        <v>0.80890946935388475</v>
      </c>
      <c r="Q181" s="111">
        <f t="shared" si="57"/>
        <v>7.131482524762707E-2</v>
      </c>
      <c r="R181" s="111">
        <f t="shared" si="57"/>
        <v>0.12121067872554656</v>
      </c>
      <c r="S181" s="111">
        <f t="shared" si="57"/>
        <v>0.10281344834054647</v>
      </c>
      <c r="T181" s="111">
        <f t="shared" si="57"/>
        <v>0.1118012907611739</v>
      </c>
      <c r="U181" s="111">
        <f t="shared" si="57"/>
        <v>8.3013048783019822E-2</v>
      </c>
      <c r="V181" s="111">
        <f t="shared" si="57"/>
        <v>0.12977926056242151</v>
      </c>
      <c r="W181" s="111">
        <f t="shared" si="57"/>
        <v>0.10128897068788535</v>
      </c>
      <c r="X181" s="111">
        <f t="shared" si="57"/>
        <v>6.248713147466313E-2</v>
      </c>
      <c r="Y181" s="110">
        <f t="shared" si="46"/>
        <v>0.12133741999813408</v>
      </c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1:42" s="6" customFormat="1" ht="17">
      <c r="A182"/>
      <c r="B182" s="105">
        <v>8</v>
      </c>
      <c r="C182" s="104" t="s">
        <v>16</v>
      </c>
      <c r="D182" s="103" t="s">
        <v>39</v>
      </c>
      <c r="E182" s="111">
        <f>E49/E50</f>
        <v>8.2905100149581093E-2</v>
      </c>
      <c r="F182" s="111">
        <f t="shared" ref="F182:G182" si="58">F49/F50</f>
        <v>9.142139077968936E-2</v>
      </c>
      <c r="G182" s="111">
        <f t="shared" si="58"/>
        <v>9.2919044542247115E-2</v>
      </c>
      <c r="H182" s="111">
        <f>H49/H50</f>
        <v>9.9514823052485782E-2</v>
      </c>
      <c r="I182" s="111">
        <f t="shared" ref="I182:X182" si="59">I49/I50</f>
        <v>6.5695666325154833E-2</v>
      </c>
      <c r="J182" s="111">
        <f t="shared" si="59"/>
        <v>5.7215332120271294E-2</v>
      </c>
      <c r="K182" s="111">
        <f t="shared" si="59"/>
        <v>7.128082414010832E-2</v>
      </c>
      <c r="L182" s="111">
        <f t="shared" si="59"/>
        <v>7.2618732034923764E-2</v>
      </c>
      <c r="M182" s="111">
        <f t="shared" si="59"/>
        <v>5.809101190229473E-2</v>
      </c>
      <c r="N182" s="111">
        <f t="shared" si="59"/>
        <v>6.7711072049535206E-2</v>
      </c>
      <c r="O182" s="111">
        <f t="shared" si="59"/>
        <v>7.8742774041941438E-2</v>
      </c>
      <c r="P182" s="111">
        <f t="shared" si="59"/>
        <v>7.7004636689152764E-2</v>
      </c>
      <c r="Q182" s="111">
        <f t="shared" si="59"/>
        <v>6.3843410202484158E-2</v>
      </c>
      <c r="R182" s="111">
        <f t="shared" si="59"/>
        <v>6.2438697379496345E-2</v>
      </c>
      <c r="S182" s="111">
        <f t="shared" si="59"/>
        <v>7.5445109761474755E-2</v>
      </c>
      <c r="T182" s="111">
        <f t="shared" si="59"/>
        <v>9.2930491918555999E-2</v>
      </c>
      <c r="U182" s="111">
        <f t="shared" si="59"/>
        <v>6.9272540991776016E-2</v>
      </c>
      <c r="V182" s="111">
        <f t="shared" si="59"/>
        <v>6.8361198394842254E-2</v>
      </c>
      <c r="W182" s="111">
        <f t="shared" si="59"/>
        <v>8.3144324130038347E-2</v>
      </c>
      <c r="X182" s="111">
        <f t="shared" si="59"/>
        <v>8.8003019760592757E-2</v>
      </c>
      <c r="Y182" s="110">
        <f t="shared" si="46"/>
        <v>7.5927960018332311E-2</v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1:42" s="6" customFormat="1" ht="17">
      <c r="A183"/>
      <c r="B183" s="105">
        <v>9</v>
      </c>
      <c r="C183" s="104" t="s">
        <v>17</v>
      </c>
      <c r="D183" s="103" t="s">
        <v>40</v>
      </c>
      <c r="E183" s="111">
        <f t="shared" ref="E183:G183" si="60">E55/E56</f>
        <v>8.4286713219738504E-2</v>
      </c>
      <c r="F183" s="111">
        <f t="shared" si="60"/>
        <v>8.4286713219738504E-2</v>
      </c>
      <c r="G183" s="111">
        <f t="shared" si="60"/>
        <v>8.5762764303018948E-2</v>
      </c>
      <c r="H183" s="111">
        <f>H55/H56</f>
        <v>0.21030878794167432</v>
      </c>
      <c r="I183" s="111">
        <f t="shared" ref="I183:X183" si="61">I55/I56</f>
        <v>0.20594404322948234</v>
      </c>
      <c r="J183" s="111">
        <f t="shared" si="61"/>
        <v>0.25485384580215881</v>
      </c>
      <c r="K183" s="111">
        <f t="shared" si="61"/>
        <v>0.29703385504577884</v>
      </c>
      <c r="L183" s="111">
        <f t="shared" si="61"/>
        <v>0.43548613228553257</v>
      </c>
      <c r="M183" s="111">
        <f t="shared" si="61"/>
        <v>7.0086967702350164E-2</v>
      </c>
      <c r="N183" s="111">
        <f t="shared" si="61"/>
        <v>6.5936290536801903E-2</v>
      </c>
      <c r="O183" s="111">
        <f t="shared" si="61"/>
        <v>6.6066771477685554E-2</v>
      </c>
      <c r="P183" s="111">
        <f t="shared" si="61"/>
        <v>-8.7223807261590777E-2</v>
      </c>
      <c r="Q183" s="111">
        <f t="shared" si="61"/>
        <v>0.10842632655599019</v>
      </c>
      <c r="R183" s="111">
        <f t="shared" si="61"/>
        <v>0.10411680289979301</v>
      </c>
      <c r="S183" s="111">
        <f t="shared" si="61"/>
        <v>8.857972653034743E-2</v>
      </c>
      <c r="T183" s="111">
        <f t="shared" si="61"/>
        <v>0.15121378669309191</v>
      </c>
      <c r="U183" s="111">
        <f t="shared" si="61"/>
        <v>0.17200694403649897</v>
      </c>
      <c r="V183" s="111">
        <f t="shared" si="61"/>
        <v>0.17234512792247511</v>
      </c>
      <c r="W183" s="111">
        <f t="shared" si="61"/>
        <v>0.15814263138859846</v>
      </c>
      <c r="X183" s="111">
        <f t="shared" si="61"/>
        <v>0.12547220440530826</v>
      </c>
      <c r="Y183" s="110">
        <f t="shared" si="46"/>
        <v>0.14265663139672363</v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1:42" s="6" customFormat="1" ht="17">
      <c r="A184"/>
      <c r="B184" s="105">
        <v>10</v>
      </c>
      <c r="C184" s="102" t="s">
        <v>18</v>
      </c>
      <c r="D184" s="103" t="s">
        <v>41</v>
      </c>
      <c r="E184" s="111">
        <f t="shared" ref="E184:G184" si="62">E61/E62</f>
        <v>8.4430071736723497E-2</v>
      </c>
      <c r="F184" s="111">
        <f t="shared" si="62"/>
        <v>7.8631383323889789E-2</v>
      </c>
      <c r="G184" s="111">
        <f t="shared" si="62"/>
        <v>7.6940309206868729E-2</v>
      </c>
      <c r="H184" s="111">
        <f>H61/H62</f>
        <v>0.10225045847892784</v>
      </c>
      <c r="I184" s="111">
        <f t="shared" ref="I184:X184" si="63">I61/I62</f>
        <v>0.12507065525102606</v>
      </c>
      <c r="J184" s="111">
        <f t="shared" si="63"/>
        <v>9.9555889230107622E-2</v>
      </c>
      <c r="K184" s="111">
        <f t="shared" si="63"/>
        <v>0.11692747270051664</v>
      </c>
      <c r="L184" s="111">
        <f t="shared" si="63"/>
        <v>0.14118961211397063</v>
      </c>
      <c r="M184" s="111">
        <f t="shared" si="63"/>
        <v>0.12635556303483442</v>
      </c>
      <c r="N184" s="111">
        <f t="shared" si="63"/>
        <v>0.10852619394128864</v>
      </c>
      <c r="O184" s="111">
        <f t="shared" si="63"/>
        <v>0.1092203871216078</v>
      </c>
      <c r="P184" s="111">
        <f t="shared" si="63"/>
        <v>0.13244053446818099</v>
      </c>
      <c r="Q184" s="111">
        <f t="shared" si="63"/>
        <v>0.13974745385112858</v>
      </c>
      <c r="R184" s="111">
        <f t="shared" si="63"/>
        <v>0.13381531252204684</v>
      </c>
      <c r="S184" s="111">
        <f t="shared" si="63"/>
        <v>0.13866548851670793</v>
      </c>
      <c r="T184" s="111">
        <f t="shared" si="63"/>
        <v>0.10512502201285662</v>
      </c>
      <c r="U184" s="111">
        <f t="shared" si="63"/>
        <v>0.17055967763038871</v>
      </c>
      <c r="V184" s="111">
        <f t="shared" si="63"/>
        <v>0.14664753860080351</v>
      </c>
      <c r="W184" s="111">
        <f t="shared" si="63"/>
        <v>0.12597098826784414</v>
      </c>
      <c r="X184" s="111">
        <f t="shared" si="63"/>
        <v>0.20715895442814103</v>
      </c>
      <c r="Y184" s="110">
        <f t="shared" si="46"/>
        <v>0.12346144832189301</v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1:42" s="6" customFormat="1" ht="17">
      <c r="A185"/>
      <c r="B185" s="105">
        <v>11</v>
      </c>
      <c r="C185" s="104" t="s">
        <v>19</v>
      </c>
      <c r="D185" s="103" t="s">
        <v>42</v>
      </c>
      <c r="E185" s="111">
        <f t="shared" ref="E185:G185" si="64">E67/E68</f>
        <v>0.17453335833865707</v>
      </c>
      <c r="F185" s="111">
        <f t="shared" si="64"/>
        <v>0.17728885919436582</v>
      </c>
      <c r="G185" s="111">
        <f t="shared" si="64"/>
        <v>0.20487677032483334</v>
      </c>
      <c r="H185" s="111">
        <f>H67/H68</f>
        <v>0.23115771705837965</v>
      </c>
      <c r="I185" s="111">
        <f t="shared" ref="I185:X185" si="65">I67/I68</f>
        <v>0.26771504101248161</v>
      </c>
      <c r="J185" s="111">
        <f t="shared" si="65"/>
        <v>0.2177109223915436</v>
      </c>
      <c r="K185" s="111">
        <f t="shared" si="65"/>
        <v>0.22306990922925449</v>
      </c>
      <c r="L185" s="111">
        <f t="shared" si="65"/>
        <v>0.22424068980308673</v>
      </c>
      <c r="M185" s="111">
        <f t="shared" si="65"/>
        <v>0.21778843201429512</v>
      </c>
      <c r="N185" s="111">
        <f t="shared" si="65"/>
        <v>0.23521661362803645</v>
      </c>
      <c r="O185" s="111">
        <f t="shared" si="65"/>
        <v>0.25008012998833473</v>
      </c>
      <c r="P185" s="111">
        <f t="shared" si="65"/>
        <v>0.24925615487995412</v>
      </c>
      <c r="Q185" s="111">
        <f t="shared" si="65"/>
        <v>0.30161234742683801</v>
      </c>
      <c r="R185" s="111">
        <f t="shared" si="65"/>
        <v>0.28307354766934467</v>
      </c>
      <c r="S185" s="111">
        <f t="shared" si="65"/>
        <v>0.27776305419575548</v>
      </c>
      <c r="T185" s="111">
        <f t="shared" si="65"/>
        <v>0.2575204424528828</v>
      </c>
      <c r="U185" s="111">
        <f t="shared" si="65"/>
        <v>0.16834506775493915</v>
      </c>
      <c r="V185" s="111">
        <f t="shared" si="65"/>
        <v>0.15717553313980825</v>
      </c>
      <c r="W185" s="111">
        <f t="shared" si="65"/>
        <v>0.14671111447328739</v>
      </c>
      <c r="X185" s="111">
        <f t="shared" si="65"/>
        <v>0.15671825123782943</v>
      </c>
      <c r="Y185" s="110">
        <f t="shared" si="46"/>
        <v>0.22109269781069538</v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1:42" s="6" customFormat="1" ht="17">
      <c r="A186"/>
      <c r="B186" s="105">
        <v>12</v>
      </c>
      <c r="C186" s="104" t="s">
        <v>20</v>
      </c>
      <c r="D186" s="103" t="s">
        <v>43</v>
      </c>
      <c r="E186" s="111">
        <f t="shared" ref="E186:G186" si="66">E73/E74</f>
        <v>3.4912903728531702E-2</v>
      </c>
      <c r="F186" s="111">
        <f t="shared" si="66"/>
        <v>3.9776421807955091E-2</v>
      </c>
      <c r="G186" s="111">
        <f t="shared" si="66"/>
        <v>4.9351442536778284E-2</v>
      </c>
      <c r="H186" s="111">
        <f>H73/H74</f>
        <v>5.6310711946739998E-2</v>
      </c>
      <c r="I186" s="111">
        <f t="shared" ref="I186:X186" si="67">I73/I74</f>
        <v>3.7976546129452809E-2</v>
      </c>
      <c r="J186" s="111">
        <f t="shared" si="67"/>
        <v>1.00391704053952E-2</v>
      </c>
      <c r="K186" s="111">
        <f t="shared" si="67"/>
        <v>5.0009542133368666E-3</v>
      </c>
      <c r="L186" s="111">
        <f t="shared" si="67"/>
        <v>2.3185802582851452E-3</v>
      </c>
      <c r="M186" s="111">
        <f t="shared" si="67"/>
        <v>1.2358903151709571E-2</v>
      </c>
      <c r="N186" s="111">
        <f t="shared" si="67"/>
        <v>1.6624221455856909E-2</v>
      </c>
      <c r="O186" s="111">
        <f t="shared" si="67"/>
        <v>8.6917061139780028E-3</v>
      </c>
      <c r="P186" s="111">
        <f t="shared" si="67"/>
        <v>1.4864066808951335E-2</v>
      </c>
      <c r="Q186" s="111">
        <f t="shared" si="67"/>
        <v>4.5754449044208469E-3</v>
      </c>
      <c r="R186" s="111">
        <f t="shared" si="67"/>
        <v>8.8648237576530852E-3</v>
      </c>
      <c r="S186" s="111">
        <f>S73/S74</f>
        <v>7.6594821966301067E-3</v>
      </c>
      <c r="T186" s="111">
        <f t="shared" si="67"/>
        <v>1.7053063775162653E-2</v>
      </c>
      <c r="U186" s="111">
        <f t="shared" si="67"/>
        <v>1.6414421970986286E-2</v>
      </c>
      <c r="V186" s="111">
        <f t="shared" si="67"/>
        <v>1.9777649770680111E-2</v>
      </c>
      <c r="W186" s="111">
        <f t="shared" si="67"/>
        <v>1.4789633611326321E-2</v>
      </c>
      <c r="X186" s="111">
        <f t="shared" si="67"/>
        <v>1.8265544140772853E-2</v>
      </c>
      <c r="Y186" s="110">
        <f t="shared" si="46"/>
        <v>1.9781284634230161E-2</v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1:42" s="6" customFormat="1" ht="17">
      <c r="A187"/>
      <c r="B187" s="105">
        <v>13</v>
      </c>
      <c r="C187" s="104" t="s">
        <v>21</v>
      </c>
      <c r="D187" s="103" t="s">
        <v>44</v>
      </c>
      <c r="E187" s="111">
        <f t="shared" ref="E187:G187" si="68">E79/E80</f>
        <v>0.18619967515320002</v>
      </c>
      <c r="F187" s="111">
        <f t="shared" si="68"/>
        <v>0.16325495881242624</v>
      </c>
      <c r="G187" s="111">
        <f t="shared" si="68"/>
        <v>0.19678949713041788</v>
      </c>
      <c r="H187" s="111">
        <f>H79/H80</f>
        <v>0.22293828676226327</v>
      </c>
      <c r="I187" s="111">
        <f t="shared" ref="I187:X187" si="69">I79/I80</f>
        <v>0.20260537544997731</v>
      </c>
      <c r="J187" s="111">
        <f t="shared" si="69"/>
        <v>0.17635236456841671</v>
      </c>
      <c r="K187" s="111">
        <f t="shared" si="69"/>
        <v>0.18656272176812999</v>
      </c>
      <c r="L187" s="111">
        <f t="shared" si="69"/>
        <v>0.18962820298980465</v>
      </c>
      <c r="M187" s="111">
        <f t="shared" si="69"/>
        <v>0.21128272505356196</v>
      </c>
      <c r="N187" s="111">
        <f t="shared" si="69"/>
        <v>0.169089184042026</v>
      </c>
      <c r="O187" s="111">
        <f t="shared" si="69"/>
        <v>0.20685493962966403</v>
      </c>
      <c r="P187" s="111">
        <f t="shared" si="69"/>
        <v>0.25047244306311423</v>
      </c>
      <c r="Q187" s="111">
        <f t="shared" si="69"/>
        <v>0.27137985172324247</v>
      </c>
      <c r="R187" s="111">
        <f t="shared" si="69"/>
        <v>0.26865740694458234</v>
      </c>
      <c r="S187" s="111">
        <f t="shared" si="69"/>
        <v>0.32334351990012894</v>
      </c>
      <c r="T187" s="111">
        <f t="shared" si="69"/>
        <v>0.27294497420673036</v>
      </c>
      <c r="U187" s="111">
        <f t="shared" si="69"/>
        <v>0.26320770762871898</v>
      </c>
      <c r="V187" s="111">
        <f t="shared" si="69"/>
        <v>0.25725699109441047</v>
      </c>
      <c r="W187" s="111">
        <f t="shared" si="69"/>
        <v>0.28009376979894401</v>
      </c>
      <c r="X187" s="111">
        <f t="shared" si="69"/>
        <v>0.26542173359294086</v>
      </c>
      <c r="Y187" s="110">
        <f t="shared" si="46"/>
        <v>0.22821681646563502</v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1:42" s="6" customFormat="1" ht="17">
      <c r="A188"/>
      <c r="B188" s="105">
        <v>14</v>
      </c>
      <c r="C188" s="104" t="s">
        <v>22</v>
      </c>
      <c r="D188" s="103" t="s">
        <v>45</v>
      </c>
      <c r="E188" s="111">
        <f t="shared" ref="E188:G188" si="70">E85/E86</f>
        <v>0.12055015531369737</v>
      </c>
      <c r="F188" s="111">
        <f t="shared" si="70"/>
        <v>0.13489512958257593</v>
      </c>
      <c r="G188" s="111">
        <f t="shared" si="70"/>
        <v>0.13899273769141376</v>
      </c>
      <c r="H188" s="111">
        <f>H85/H86</f>
        <v>6.9375135703473048E-2</v>
      </c>
      <c r="I188" s="111">
        <f t="shared" ref="I188:X188" si="71">I85/I86</f>
        <v>0.10706610675297494</v>
      </c>
      <c r="J188" s="111">
        <f t="shared" si="71"/>
        <v>3.693331248919049E-2</v>
      </c>
      <c r="K188" s="111">
        <f t="shared" si="71"/>
        <v>6.1425811862356919E-2</v>
      </c>
      <c r="L188" s="111">
        <f t="shared" si="71"/>
        <v>9.2062158937260566E-2</v>
      </c>
      <c r="M188" s="111">
        <f t="shared" si="71"/>
        <v>8.5804186203984889E-2</v>
      </c>
      <c r="N188" s="111">
        <f t="shared" si="71"/>
        <v>9.3201285947196066E-2</v>
      </c>
      <c r="O188" s="111">
        <f t="shared" si="71"/>
        <v>9.4463416525659552E-2</v>
      </c>
      <c r="P188" s="111">
        <f t="shared" si="71"/>
        <v>0.15879881249341174</v>
      </c>
      <c r="Q188" s="111">
        <f t="shared" si="71"/>
        <v>0.15215088874263055</v>
      </c>
      <c r="R188" s="111">
        <f t="shared" si="71"/>
        <v>0.19573278638259009</v>
      </c>
      <c r="S188" s="111">
        <f t="shared" si="71"/>
        <v>0.16658929084017221</v>
      </c>
      <c r="T188" s="111">
        <f t="shared" si="71"/>
        <v>0.20634677117241132</v>
      </c>
      <c r="U188" s="111">
        <f t="shared" si="71"/>
        <v>0.18268001028352723</v>
      </c>
      <c r="V188" s="111">
        <f t="shared" si="71"/>
        <v>0.21092226344540765</v>
      </c>
      <c r="W188" s="111">
        <f t="shared" si="71"/>
        <v>0.19980279202890691</v>
      </c>
      <c r="X188" s="111">
        <f t="shared" si="71"/>
        <v>0.30807523091594585</v>
      </c>
      <c r="Y188" s="110">
        <f t="shared" si="46"/>
        <v>0.14079341416573937</v>
      </c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1:42" s="6" customFormat="1" ht="17">
      <c r="A189"/>
      <c r="B189" s="105">
        <v>15</v>
      </c>
      <c r="C189" s="104" t="s">
        <v>23</v>
      </c>
      <c r="D189" s="103" t="s">
        <v>46</v>
      </c>
      <c r="E189" s="111">
        <f t="shared" ref="E189:G189" si="72">E91/E92</f>
        <v>5.9306190114442006E-2</v>
      </c>
      <c r="F189" s="111">
        <f t="shared" si="72"/>
        <v>5.0482254561063422E-2</v>
      </c>
      <c r="G189" s="111">
        <f t="shared" si="72"/>
        <v>0.32053669063371926</v>
      </c>
      <c r="H189" s="111">
        <f>H91/H92</f>
        <v>1.0980761616551744</v>
      </c>
      <c r="I189" s="111">
        <f t="shared" ref="I189:X189" si="73">I91/I92</f>
        <v>4.121940402428579E-2</v>
      </c>
      <c r="J189" s="111">
        <f t="shared" si="73"/>
        <v>5.4597213304813701E-2</v>
      </c>
      <c r="K189" s="111">
        <f t="shared" si="73"/>
        <v>0.23309137953867301</v>
      </c>
      <c r="L189" s="111">
        <f t="shared" si="73"/>
        <v>0.2119647056891325</v>
      </c>
      <c r="M189" s="111">
        <f t="shared" si="73"/>
        <v>4.2258871371067416E-2</v>
      </c>
      <c r="N189" s="111">
        <f t="shared" si="73"/>
        <v>4.8278685571154875E-2</v>
      </c>
      <c r="O189" s="111">
        <f t="shared" si="73"/>
        <v>6.6036630721781731E-2</v>
      </c>
      <c r="P189" s="111">
        <f t="shared" si="73"/>
        <v>3.6363712372501765E-2</v>
      </c>
      <c r="Q189" s="111">
        <f t="shared" si="73"/>
        <v>3.4579556649097537E-2</v>
      </c>
      <c r="R189" s="111">
        <f t="shared" si="73"/>
        <v>1.7854819018374844E-2</v>
      </c>
      <c r="S189" s="111">
        <f t="shared" si="73"/>
        <v>5.0429888275905686E-2</v>
      </c>
      <c r="T189" s="111">
        <f t="shared" si="73"/>
        <v>6.1690085606873155E-2</v>
      </c>
      <c r="U189" s="111">
        <f t="shared" si="73"/>
        <v>1.8656921638072199E-2</v>
      </c>
      <c r="V189" s="111">
        <f t="shared" si="73"/>
        <v>5.5085214076452622E-2</v>
      </c>
      <c r="W189" s="111">
        <f t="shared" si="73"/>
        <v>0.10516064023515601</v>
      </c>
      <c r="X189" s="111">
        <f t="shared" si="73"/>
        <v>0.16638370804386191</v>
      </c>
      <c r="Y189" s="110">
        <f t="shared" si="46"/>
        <v>0.13860263665508016</v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1:42" s="6" customFormat="1" ht="17">
      <c r="A190"/>
      <c r="B190" s="105">
        <v>16</v>
      </c>
      <c r="C190" s="104" t="s">
        <v>24</v>
      </c>
      <c r="D190" s="103" t="s">
        <v>47</v>
      </c>
      <c r="E190" s="111">
        <f t="shared" ref="E190:G190" si="74">E97/E98</f>
        <v>0.10193151571724962</v>
      </c>
      <c r="F190" s="111">
        <f t="shared" si="74"/>
        <v>0.10680617708993169</v>
      </c>
      <c r="G190" s="111">
        <f t="shared" si="74"/>
        <v>0.13291615522952449</v>
      </c>
      <c r="H190" s="111">
        <f>H97/H98</f>
        <v>0.16995944682827452</v>
      </c>
      <c r="I190" s="111">
        <f t="shared" ref="I190:X190" si="75">I97/I98</f>
        <v>0.12594167692872577</v>
      </c>
      <c r="J190" s="111">
        <f t="shared" si="75"/>
        <v>6.9439654668105213E-2</v>
      </c>
      <c r="K190" s="111">
        <f t="shared" si="75"/>
        <v>0.14070303373029638</v>
      </c>
      <c r="L190" s="111">
        <f t="shared" si="75"/>
        <v>0.14187126671426734</v>
      </c>
      <c r="M190" s="111">
        <f t="shared" si="75"/>
        <v>0.12847738569914569</v>
      </c>
      <c r="N190" s="111">
        <f t="shared" si="75"/>
        <v>0.1070188040900336</v>
      </c>
      <c r="O190" s="111">
        <f t="shared" si="75"/>
        <v>0.12538525298432265</v>
      </c>
      <c r="P190" s="111">
        <f t="shared" si="75"/>
        <v>0.12414016807370956</v>
      </c>
      <c r="Q190" s="111">
        <f t="shared" si="75"/>
        <v>0.13366053534297648</v>
      </c>
      <c r="R190" s="111">
        <f t="shared" si="75"/>
        <v>0.11472959961545451</v>
      </c>
      <c r="S190" s="111">
        <f t="shared" si="75"/>
        <v>0.13717049353281674</v>
      </c>
      <c r="T190" s="111">
        <f t="shared" si="75"/>
        <v>0.14575112975293569</v>
      </c>
      <c r="U190" s="111">
        <f t="shared" si="75"/>
        <v>0.1501121330803267</v>
      </c>
      <c r="V190" s="111">
        <f t="shared" si="75"/>
        <v>0.1453990449452445</v>
      </c>
      <c r="W190" s="111">
        <f t="shared" si="75"/>
        <v>0.18791969129907507</v>
      </c>
      <c r="X190" s="111">
        <f t="shared" si="75"/>
        <v>0.15363617996760984</v>
      </c>
      <c r="Y190" s="110">
        <f t="shared" si="46"/>
        <v>0.1321484672645013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1:42" s="6" customFormat="1" ht="17">
      <c r="A191"/>
      <c r="B191" s="105">
        <v>17</v>
      </c>
      <c r="C191" s="104" t="s">
        <v>25</v>
      </c>
      <c r="D191" s="103" t="s">
        <v>48</v>
      </c>
      <c r="E191" s="111">
        <f t="shared" ref="E191:G191" si="76">E103/E104</f>
        <v>0.37154961267920672</v>
      </c>
      <c r="F191" s="111">
        <f t="shared" si="76"/>
        <v>0.37813855692498516</v>
      </c>
      <c r="G191" s="111">
        <f t="shared" si="76"/>
        <v>0.39415977564541316</v>
      </c>
      <c r="H191" s="111">
        <f>H103/H104</f>
        <v>0.39585622915859336</v>
      </c>
      <c r="I191" s="111">
        <f t="shared" ref="I191:X191" si="77">I103/I104</f>
        <v>0.37540347565556903</v>
      </c>
      <c r="J191" s="111">
        <f t="shared" si="77"/>
        <v>0.26034588630658789</v>
      </c>
      <c r="K191" s="111">
        <f t="shared" si="77"/>
        <v>0.33942019213012981</v>
      </c>
      <c r="L191" s="111">
        <f t="shared" si="77"/>
        <v>0.34944254987735274</v>
      </c>
      <c r="M191" s="111">
        <f t="shared" si="77"/>
        <v>0.35184167987656245</v>
      </c>
      <c r="N191" s="111">
        <f t="shared" si="77"/>
        <v>0.39275208909083903</v>
      </c>
      <c r="O191" s="111">
        <f t="shared" si="77"/>
        <v>0.36515293222823947</v>
      </c>
      <c r="P191" s="111">
        <f t="shared" si="77"/>
        <v>0.40180924033872134</v>
      </c>
      <c r="Q191" s="111">
        <f>Q103/Q104</f>
        <v>0.33749257398308896</v>
      </c>
      <c r="R191" s="111">
        <f t="shared" si="77"/>
        <v>0.33073213592662704</v>
      </c>
      <c r="S191" s="111">
        <f t="shared" si="77"/>
        <v>0.32609065321817393</v>
      </c>
      <c r="T191" s="111">
        <f t="shared" si="77"/>
        <v>0.41198787898936157</v>
      </c>
      <c r="U191" s="111">
        <f t="shared" si="77"/>
        <v>0.33460905185011836</v>
      </c>
      <c r="V191" s="111">
        <f t="shared" si="77"/>
        <v>0.26827440190575225</v>
      </c>
      <c r="W191" s="111">
        <f t="shared" si="77"/>
        <v>0.36192472998450448</v>
      </c>
      <c r="X191" s="111">
        <f t="shared" si="77"/>
        <v>0.26025044350270871</v>
      </c>
      <c r="Y191" s="110">
        <f t="shared" si="46"/>
        <v>0.35036170446362663</v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1:42" s="6" customFormat="1" ht="17">
      <c r="A192"/>
      <c r="B192" s="105">
        <v>18</v>
      </c>
      <c r="C192" s="104" t="s">
        <v>26</v>
      </c>
      <c r="D192" s="103" t="s">
        <v>49</v>
      </c>
      <c r="E192" s="111">
        <f t="shared" ref="E192:G192" si="78">E109/E110</f>
        <v>7.7199561957596252E-2</v>
      </c>
      <c r="F192" s="111">
        <f t="shared" si="78"/>
        <v>7.5181671954104343E-2</v>
      </c>
      <c r="G192" s="111">
        <f t="shared" si="78"/>
        <v>6.4534762232099641E-2</v>
      </c>
      <c r="H192" s="111">
        <f>H109/H110</f>
        <v>7.7483043611525998E-2</v>
      </c>
      <c r="I192" s="111">
        <f t="shared" ref="I192:X192" si="79">I109/I110</f>
        <v>7.8198568786239292E-2</v>
      </c>
      <c r="J192" s="111">
        <f t="shared" si="79"/>
        <v>7.6066616166280285E-2</v>
      </c>
      <c r="K192" s="111">
        <f t="shared" si="79"/>
        <v>7.5950678776488589E-2</v>
      </c>
      <c r="L192" s="111">
        <f t="shared" si="79"/>
        <v>7.9304667718389774E-2</v>
      </c>
      <c r="M192" s="111">
        <f t="shared" si="79"/>
        <v>8.0447519524762506E-2</v>
      </c>
      <c r="N192" s="111">
        <f t="shared" si="79"/>
        <v>7.5118700106046946E-2</v>
      </c>
      <c r="O192" s="111">
        <f t="shared" si="79"/>
        <v>8.0844175152814751E-2</v>
      </c>
      <c r="P192" s="111">
        <f t="shared" si="79"/>
        <v>7.7463126860714715E-2</v>
      </c>
      <c r="Q192" s="111">
        <f t="shared" si="79"/>
        <v>7.7717233552420092E-2</v>
      </c>
      <c r="R192" s="111">
        <f t="shared" si="79"/>
        <v>7.8352374324092505E-2</v>
      </c>
      <c r="S192" s="111">
        <f t="shared" si="79"/>
        <v>7.9350430901884469E-2</v>
      </c>
      <c r="T192" s="111">
        <f t="shared" si="79"/>
        <v>7.6133120847190053E-2</v>
      </c>
      <c r="U192" s="111">
        <f t="shared" si="79"/>
        <v>7.6640084632777064E-2</v>
      </c>
      <c r="V192" s="111">
        <f t="shared" si="79"/>
        <v>7.6326446667914757E-2</v>
      </c>
      <c r="W192" s="111">
        <f t="shared" si="79"/>
        <v>7.9805798600562083E-2</v>
      </c>
      <c r="X192" s="111">
        <f t="shared" si="79"/>
        <v>7.5448317172110382E-2</v>
      </c>
      <c r="Y192" s="110">
        <f t="shared" si="46"/>
        <v>7.6878344977300714E-2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</row>
    <row r="193" spans="1:42" s="6" customFormat="1" ht="17">
      <c r="A193"/>
      <c r="B193" s="105">
        <v>19</v>
      </c>
      <c r="C193" s="104" t="s">
        <v>27</v>
      </c>
      <c r="D193" s="103" t="s">
        <v>50</v>
      </c>
      <c r="E193" s="111">
        <f t="shared" ref="E193:G193" si="80">E115/E116</f>
        <v>0.75553133513723536</v>
      </c>
      <c r="F193" s="111">
        <f t="shared" si="80"/>
        <v>0.84521995255205595</v>
      </c>
      <c r="G193" s="111">
        <f t="shared" si="80"/>
        <v>0.80163430341176245</v>
      </c>
      <c r="H193" s="111">
        <f>H115/H116</f>
        <v>0.76260218540348668</v>
      </c>
      <c r="I193" s="111">
        <f t="shared" ref="I193:X193" si="81">I115/I116</f>
        <v>0.61082175421798757</v>
      </c>
      <c r="J193" s="111">
        <f t="shared" si="81"/>
        <v>0.54827177216469802</v>
      </c>
      <c r="K193" s="111">
        <f t="shared" si="81"/>
        <v>0.54344710857748402</v>
      </c>
      <c r="L193" s="111">
        <f t="shared" si="81"/>
        <v>0.57825386053710648</v>
      </c>
      <c r="M193" s="111">
        <f t="shared" si="81"/>
        <v>0.56609529442358086</v>
      </c>
      <c r="N193" s="111">
        <f t="shared" si="81"/>
        <v>0.61594111649287353</v>
      </c>
      <c r="O193" s="111">
        <f t="shared" si="81"/>
        <v>0.6561332103719939</v>
      </c>
      <c r="P193" s="111">
        <f t="shared" si="81"/>
        <v>0.63830300001047136</v>
      </c>
      <c r="Q193" s="111">
        <f t="shared" si="81"/>
        <v>0.5873800547309842</v>
      </c>
      <c r="R193" s="111">
        <f t="shared" si="81"/>
        <v>0.56329439807770565</v>
      </c>
      <c r="S193" s="111">
        <f t="shared" si="81"/>
        <v>0.57880642911628422</v>
      </c>
      <c r="T193" s="111">
        <f t="shared" si="81"/>
        <v>0.56785106603207092</v>
      </c>
      <c r="U193" s="111">
        <f t="shared" si="81"/>
        <v>0.56782863939286266</v>
      </c>
      <c r="V193" s="111">
        <f t="shared" si="81"/>
        <v>0.54335628782409318</v>
      </c>
      <c r="W193" s="111">
        <f t="shared" si="81"/>
        <v>0.5310070693405996</v>
      </c>
      <c r="X193" s="111">
        <f t="shared" si="81"/>
        <v>0.53453731179969421</v>
      </c>
      <c r="Y193" s="110">
        <f t="shared" si="46"/>
        <v>0.61981580748075149</v>
      </c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</row>
    <row r="194" spans="1:42" s="6" customFormat="1" ht="17">
      <c r="A194"/>
      <c r="B194" s="105">
        <v>20</v>
      </c>
      <c r="C194" s="102" t="s">
        <v>28</v>
      </c>
      <c r="D194" s="103" t="s">
        <v>51</v>
      </c>
      <c r="E194" s="111">
        <f t="shared" ref="E194:G194" si="82">E121/E122</f>
        <v>0.23785278144175206</v>
      </c>
      <c r="F194" s="111">
        <f t="shared" si="82"/>
        <v>0.11147147806219</v>
      </c>
      <c r="G194" s="111">
        <f t="shared" si="82"/>
        <v>0.14410412303672185</v>
      </c>
      <c r="H194" s="111">
        <f>H121/H122</f>
        <v>5.3871481522087435E-2</v>
      </c>
      <c r="I194" s="111">
        <f t="shared" ref="I194:W194" si="83">I121/I122</f>
        <v>0.16894742890029416</v>
      </c>
      <c r="J194" s="111">
        <f t="shared" si="83"/>
        <v>0.15377145977750986</v>
      </c>
      <c r="K194" s="111">
        <f t="shared" si="83"/>
        <v>1.7504562155622721E-2</v>
      </c>
      <c r="L194" s="111">
        <f t="shared" si="83"/>
        <v>-8.6209552813528004E-2</v>
      </c>
      <c r="M194" s="111">
        <f t="shared" si="83"/>
        <v>9.7649930253162209E-2</v>
      </c>
      <c r="N194" s="111">
        <f t="shared" si="83"/>
        <v>9.9566181590465833E-2</v>
      </c>
      <c r="O194" s="111">
        <f t="shared" si="83"/>
        <v>0.12109362819809981</v>
      </c>
      <c r="P194" s="111">
        <f t="shared" si="83"/>
        <v>0.12291614298336301</v>
      </c>
      <c r="Q194" s="111">
        <f t="shared" si="83"/>
        <v>0.19809735279990201</v>
      </c>
      <c r="R194" s="111">
        <f t="shared" si="83"/>
        <v>8.4723607207485896E-2</v>
      </c>
      <c r="S194" s="111">
        <f t="shared" si="83"/>
        <v>0.15554501947643029</v>
      </c>
      <c r="T194" s="111">
        <f t="shared" si="83"/>
        <v>0.15403422181145685</v>
      </c>
      <c r="U194" s="111">
        <f t="shared" si="83"/>
        <v>0.1031265551369655</v>
      </c>
      <c r="V194" s="111">
        <f t="shared" si="83"/>
        <v>6.4437411414781876E-2</v>
      </c>
      <c r="W194" s="111">
        <f t="shared" si="83"/>
        <v>4.8358489472378335E-2</v>
      </c>
      <c r="X194" s="111">
        <v>4.8358489472378335E-2</v>
      </c>
      <c r="Y194" s="110">
        <f t="shared" si="46"/>
        <v>0.104961039594976</v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</row>
    <row r="195" spans="1:42" s="6" customFormat="1" ht="17">
      <c r="A195"/>
      <c r="B195" s="105">
        <v>21</v>
      </c>
      <c r="C195" s="104" t="s">
        <v>29</v>
      </c>
      <c r="D195" s="103" t="s">
        <v>52</v>
      </c>
      <c r="E195" s="111">
        <f t="shared" ref="E195:G195" si="84">E127/E128</f>
        <v>0.11189360330291752</v>
      </c>
      <c r="F195" s="111">
        <f t="shared" si="84"/>
        <v>0.12655187519982861</v>
      </c>
      <c r="G195" s="111">
        <f t="shared" si="84"/>
        <v>0.16715003728710914</v>
      </c>
      <c r="H195" s="111">
        <f>H127/H128</f>
        <v>0.1359878507764771</v>
      </c>
      <c r="I195" s="111">
        <f t="shared" ref="I195:W195" si="85">I127/I128</f>
        <v>0.13359011546697164</v>
      </c>
      <c r="J195" s="111">
        <f t="shared" si="85"/>
        <v>7.3258208077855214E-2</v>
      </c>
      <c r="K195" s="111">
        <f t="shared" si="85"/>
        <v>0.10430113009722318</v>
      </c>
      <c r="L195" s="111">
        <f t="shared" si="85"/>
        <v>0.11874163105608312</v>
      </c>
      <c r="M195" s="111">
        <f t="shared" si="85"/>
        <v>0.1318453846293193</v>
      </c>
      <c r="N195" s="111">
        <f t="shared" si="85"/>
        <v>0.14650840464176429</v>
      </c>
      <c r="O195" s="111">
        <f t="shared" si="85"/>
        <v>0.12383146907660614</v>
      </c>
      <c r="P195" s="111">
        <f t="shared" si="85"/>
        <v>0.12016087901055318</v>
      </c>
      <c r="Q195" s="111">
        <f t="shared" si="85"/>
        <v>0.17210985305427939</v>
      </c>
      <c r="R195" s="111">
        <f t="shared" si="85"/>
        <v>0.23051386137135346</v>
      </c>
      <c r="S195" s="111">
        <f>S127/S128</f>
        <v>0.23019657669771587</v>
      </c>
      <c r="T195" s="111">
        <f t="shared" si="85"/>
        <v>0.27491151151384297</v>
      </c>
      <c r="U195" s="111">
        <f t="shared" si="85"/>
        <v>0.25855425528063558</v>
      </c>
      <c r="V195" s="111">
        <f t="shared" si="85"/>
        <v>0.21789367645663088</v>
      </c>
      <c r="W195" s="111">
        <f t="shared" si="85"/>
        <v>0.23745943907766995</v>
      </c>
      <c r="X195" s="111">
        <f>X127/X128</f>
        <v>0.25433590512893112</v>
      </c>
      <c r="Y195" s="110">
        <f t="shared" si="46"/>
        <v>0.16848978336018841</v>
      </c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</row>
    <row r="196" spans="1:42" s="6" customFormat="1" ht="17">
      <c r="A196"/>
      <c r="B196" s="105">
        <v>22</v>
      </c>
      <c r="C196" s="104" t="s">
        <v>30</v>
      </c>
      <c r="D196" s="103" t="s">
        <v>53</v>
      </c>
      <c r="E196" s="111">
        <f>E133/E134</f>
        <v>4.4697003301280951E-2</v>
      </c>
      <c r="F196" s="111">
        <f>F133/F134</f>
        <v>4.5317953002728728E-2</v>
      </c>
      <c r="G196" s="111">
        <f>G133/G134</f>
        <v>4.1247263354419951E-2</v>
      </c>
      <c r="H196" s="111">
        <f>H133/H134</f>
        <v>4.2881856692668287E-2</v>
      </c>
      <c r="I196" s="111">
        <f t="shared" ref="I196:X196" si="86">I133/I134</f>
        <v>4.3872294778828445E-2</v>
      </c>
      <c r="J196" s="111">
        <f t="shared" si="86"/>
        <v>3.8669690015483378E-2</v>
      </c>
      <c r="K196" s="111">
        <f t="shared" si="86"/>
        <v>4.1289163820026641E-2</v>
      </c>
      <c r="L196" s="111">
        <f t="shared" si="86"/>
        <v>4.2065324777663449E-2</v>
      </c>
      <c r="M196" s="111">
        <f t="shared" si="86"/>
        <v>4.1033979812702369E-2</v>
      </c>
      <c r="N196" s="111">
        <f t="shared" si="86"/>
        <v>4.0059291225224634E-2</v>
      </c>
      <c r="O196" s="111">
        <f t="shared" si="86"/>
        <v>4.1061034924001608E-2</v>
      </c>
      <c r="P196" s="111">
        <f t="shared" si="86"/>
        <v>4.4130380915885663E-2</v>
      </c>
      <c r="Q196" s="111">
        <f t="shared" si="86"/>
        <v>4.9864331354031032E-2</v>
      </c>
      <c r="R196" s="111">
        <f t="shared" si="86"/>
        <v>4.6735807575463119E-2</v>
      </c>
      <c r="S196" s="111">
        <f t="shared" si="86"/>
        <v>4.7473787160669245E-2</v>
      </c>
      <c r="T196" s="111">
        <f t="shared" si="86"/>
        <v>4.5583306829420508E-2</v>
      </c>
      <c r="U196" s="111">
        <f t="shared" si="86"/>
        <v>4.621297209905996E-2</v>
      </c>
      <c r="V196" s="111">
        <f t="shared" si="86"/>
        <v>4.6033721165001137E-2</v>
      </c>
      <c r="W196" s="111">
        <f t="shared" si="86"/>
        <v>4.63279651792824E-2</v>
      </c>
      <c r="X196" s="111">
        <f t="shared" si="86"/>
        <v>4.6128175525186638E-2</v>
      </c>
      <c r="Y196" s="110">
        <f t="shared" si="46"/>
        <v>4.4034265175451406E-2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</row>
    <row r="197" spans="1:42" s="6" customFormat="1" ht="17">
      <c r="A197"/>
      <c r="B197" s="105">
        <v>23</v>
      </c>
      <c r="C197" s="104" t="s">
        <v>31</v>
      </c>
      <c r="D197" s="103" t="s">
        <v>54</v>
      </c>
      <c r="E197" s="111">
        <f>E139/E140</f>
        <v>0.11533954510523563</v>
      </c>
      <c r="F197" s="111">
        <f>F139/F140</f>
        <v>0.12611348584526488</v>
      </c>
      <c r="G197" s="111">
        <f>G139/G140</f>
        <v>0.12128468291261421</v>
      </c>
      <c r="H197" s="111">
        <f>H139/H140</f>
        <v>0.13679067052415045</v>
      </c>
      <c r="I197" s="111">
        <f t="shared" ref="I197:X197" si="87">I139/I140</f>
        <v>0.13727243868664862</v>
      </c>
      <c r="J197" s="111">
        <f t="shared" si="87"/>
        <v>0.14085827919744706</v>
      </c>
      <c r="K197" s="111">
        <f t="shared" si="87"/>
        <v>0.15520898392673813</v>
      </c>
      <c r="L197" s="111">
        <f t="shared" si="87"/>
        <v>0.17161300593748369</v>
      </c>
      <c r="M197" s="111">
        <f t="shared" si="87"/>
        <v>0.17213486286945029</v>
      </c>
      <c r="N197" s="111">
        <f t="shared" si="87"/>
        <v>0.20269979221885132</v>
      </c>
      <c r="O197" s="111">
        <f t="shared" si="87"/>
        <v>0.23188053888220586</v>
      </c>
      <c r="P197" s="111">
        <f t="shared" si="87"/>
        <v>0.26734478027209713</v>
      </c>
      <c r="Q197" s="111">
        <f t="shared" si="87"/>
        <v>0.21247628007548927</v>
      </c>
      <c r="R197" s="111">
        <f>R139/R140</f>
        <v>0.22352044012319378</v>
      </c>
      <c r="S197" s="111">
        <f t="shared" si="87"/>
        <v>0.19604839012537026</v>
      </c>
      <c r="T197" s="111">
        <f t="shared" si="87"/>
        <v>0.17064837110646686</v>
      </c>
      <c r="U197" s="111">
        <f t="shared" si="87"/>
        <v>0.15702465563891385</v>
      </c>
      <c r="V197" s="111">
        <f t="shared" si="87"/>
        <v>0.16793156659202738</v>
      </c>
      <c r="W197" s="111">
        <f t="shared" si="87"/>
        <v>0.14775407321862882</v>
      </c>
      <c r="X197" s="111">
        <f t="shared" si="87"/>
        <v>0.13338896002452322</v>
      </c>
      <c r="Y197" s="110">
        <f t="shared" si="46"/>
        <v>0.16936669016414002</v>
      </c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</row>
    <row r="198" spans="1:42" s="6" customFormat="1">
      <c r="A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</row>
    <row r="199" spans="1:42" s="6" customFormat="1">
      <c r="A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</row>
    <row r="200" spans="1:42" s="10" customFormat="1">
      <c r="A200"/>
      <c r="B200" s="112" t="s">
        <v>0</v>
      </c>
      <c r="C200" s="112" t="s">
        <v>1</v>
      </c>
      <c r="D200" s="112" t="s">
        <v>2</v>
      </c>
      <c r="E200" s="173">
        <v>2019</v>
      </c>
      <c r="F200" s="173"/>
      <c r="G200" s="173"/>
      <c r="H200" s="173"/>
      <c r="I200" s="173">
        <v>2020</v>
      </c>
      <c r="J200" s="173"/>
      <c r="K200" s="173"/>
      <c r="L200" s="173"/>
      <c r="M200" s="173">
        <v>2021</v>
      </c>
      <c r="N200" s="173"/>
      <c r="O200" s="173"/>
      <c r="P200" s="173"/>
      <c r="Q200" s="173">
        <v>2022</v>
      </c>
      <c r="R200" s="173"/>
      <c r="S200" s="173"/>
      <c r="T200" s="173"/>
      <c r="U200" s="173">
        <v>2023</v>
      </c>
      <c r="V200" s="173"/>
      <c r="W200" s="173"/>
      <c r="X200" s="173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</row>
    <row r="201" spans="1:42" s="6" customFormat="1" hidden="1">
      <c r="A201"/>
      <c r="B201" s="101"/>
      <c r="C201" s="101"/>
      <c r="D201" s="101"/>
      <c r="E201" s="175">
        <v>2019</v>
      </c>
      <c r="F201" s="175"/>
      <c r="G201" s="175"/>
      <c r="H201" s="175"/>
      <c r="I201" s="175">
        <v>2020</v>
      </c>
      <c r="J201" s="175"/>
      <c r="K201" s="175"/>
      <c r="L201" s="175"/>
      <c r="M201" s="175">
        <v>2021</v>
      </c>
      <c r="N201" s="175"/>
      <c r="O201" s="175"/>
      <c r="P201" s="175"/>
      <c r="Q201" s="175">
        <v>2022</v>
      </c>
      <c r="R201" s="175"/>
      <c r="S201" s="175"/>
      <c r="T201" s="175"/>
      <c r="U201" s="175">
        <v>2023</v>
      </c>
      <c r="V201" s="175"/>
      <c r="W201" s="175"/>
      <c r="X201" s="175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</row>
    <row r="202" spans="1:42" s="6" customFormat="1">
      <c r="A202"/>
      <c r="B202" s="101"/>
      <c r="C202" s="101"/>
      <c r="D202" s="101"/>
      <c r="E202" s="105" t="s">
        <v>5</v>
      </c>
      <c r="F202" s="105" t="s">
        <v>6</v>
      </c>
      <c r="G202" s="105" t="s">
        <v>7</v>
      </c>
      <c r="H202" s="105" t="s">
        <v>8</v>
      </c>
      <c r="I202" s="105" t="s">
        <v>5</v>
      </c>
      <c r="J202" s="105" t="s">
        <v>6</v>
      </c>
      <c r="K202" s="105" t="s">
        <v>7</v>
      </c>
      <c r="L202" s="105" t="s">
        <v>8</v>
      </c>
      <c r="M202" s="105" t="s">
        <v>5</v>
      </c>
      <c r="N202" s="105" t="s">
        <v>6</v>
      </c>
      <c r="O202" s="105" t="s">
        <v>7</v>
      </c>
      <c r="P202" s="105" t="s">
        <v>8</v>
      </c>
      <c r="Q202" s="105" t="s">
        <v>5</v>
      </c>
      <c r="R202" s="105" t="s">
        <v>6</v>
      </c>
      <c r="S202" s="105" t="s">
        <v>7</v>
      </c>
      <c r="T202" s="105" t="s">
        <v>8</v>
      </c>
      <c r="U202" s="105" t="s">
        <v>5</v>
      </c>
      <c r="V202" s="105" t="s">
        <v>6</v>
      </c>
      <c r="W202" s="105" t="s">
        <v>7</v>
      </c>
      <c r="X202" s="105" t="s">
        <v>8</v>
      </c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</row>
    <row r="203" spans="1:42" s="6" customFormat="1" ht="17">
      <c r="A203"/>
      <c r="B203" s="105">
        <v>1</v>
      </c>
      <c r="C203" s="102" t="s">
        <v>9</v>
      </c>
      <c r="D203" s="103" t="s">
        <v>32</v>
      </c>
      <c r="E203" s="109">
        <f>E9/E8</f>
        <v>0.58945654411476267</v>
      </c>
      <c r="F203" s="109">
        <f t="shared" ref="F203:X203" si="88">F9/F8</f>
        <v>0.5860252831919901</v>
      </c>
      <c r="G203" s="109">
        <f t="shared" si="88"/>
        <v>0.5843643879851883</v>
      </c>
      <c r="H203" s="109">
        <f t="shared" si="88"/>
        <v>0.54530119274832023</v>
      </c>
      <c r="I203" s="109">
        <f t="shared" si="88"/>
        <v>0.54065902603231086</v>
      </c>
      <c r="J203" s="109">
        <f t="shared" si="88"/>
        <v>0.53314955947792142</v>
      </c>
      <c r="K203" s="109">
        <f t="shared" si="88"/>
        <v>0.5371137342572192</v>
      </c>
      <c r="L203" s="109">
        <f t="shared" si="88"/>
        <v>0.57751407218063788</v>
      </c>
      <c r="M203" s="109">
        <f t="shared" si="88"/>
        <v>0.55924283163296917</v>
      </c>
      <c r="N203" s="109">
        <f t="shared" si="88"/>
        <v>0.53541838289517574</v>
      </c>
      <c r="O203" s="109">
        <f t="shared" si="88"/>
        <v>0.52646039293710678</v>
      </c>
      <c r="P203" s="109">
        <f>P9/P8</f>
        <v>0.54398371385488853</v>
      </c>
      <c r="Q203" s="109">
        <f t="shared" si="88"/>
        <v>0.52251372361033921</v>
      </c>
      <c r="R203" s="109">
        <f t="shared" si="88"/>
        <v>0.51481522927170376</v>
      </c>
      <c r="S203" s="109">
        <f t="shared" si="88"/>
        <v>0.48291132405212167</v>
      </c>
      <c r="T203" s="109">
        <f t="shared" si="88"/>
        <v>0.3404803891307856</v>
      </c>
      <c r="U203" s="109">
        <f t="shared" si="88"/>
        <v>0.46434215908005005</v>
      </c>
      <c r="V203" s="109">
        <f t="shared" si="88"/>
        <v>0.4399703564245171</v>
      </c>
      <c r="W203" s="109">
        <f t="shared" si="88"/>
        <v>0.39931495909431536</v>
      </c>
      <c r="X203" s="109">
        <f t="shared" si="88"/>
        <v>0.48388987419440138</v>
      </c>
      <c r="Y203" s="110">
        <f t="shared" ref="Y203:Y225" si="89">AVERAGE(E203:X203)</f>
        <v>0.51534635680833629</v>
      </c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</row>
    <row r="204" spans="1:42" s="6" customFormat="1" ht="17">
      <c r="A204"/>
      <c r="B204" s="105">
        <v>2</v>
      </c>
      <c r="C204" s="104" t="s">
        <v>10</v>
      </c>
      <c r="D204" s="103" t="s">
        <v>33</v>
      </c>
      <c r="E204" s="109">
        <f>E15/E14</f>
        <v>0.1291962646527034</v>
      </c>
      <c r="F204" s="109">
        <f t="shared" ref="F204:X204" si="90">F15/F14</f>
        <v>0.15964918086170338</v>
      </c>
      <c r="G204" s="109">
        <f t="shared" si="90"/>
        <v>0.13889364897980394</v>
      </c>
      <c r="H204" s="109">
        <f t="shared" si="90"/>
        <v>0.12405773591578501</v>
      </c>
      <c r="I204" s="109">
        <f t="shared" si="90"/>
        <v>0.14160061467718446</v>
      </c>
      <c r="J204" s="109">
        <f t="shared" si="90"/>
        <v>0.15222089630534183</v>
      </c>
      <c r="K204" s="109">
        <f t="shared" si="90"/>
        <v>0.12529188103223021</v>
      </c>
      <c r="L204" s="109">
        <f t="shared" si="90"/>
        <v>0.12199439987768435</v>
      </c>
      <c r="M204" s="109">
        <f t="shared" si="90"/>
        <v>0.11753619889241607</v>
      </c>
      <c r="N204" s="109">
        <f t="shared" si="90"/>
        <v>0.11463906695607406</v>
      </c>
      <c r="O204" s="109">
        <f t="shared" si="90"/>
        <v>0.11292481507508241</v>
      </c>
      <c r="P204" s="109">
        <f t="shared" si="90"/>
        <v>0.11009542213450342</v>
      </c>
      <c r="Q204" s="109">
        <f t="shared" si="90"/>
        <v>0.11476737925686463</v>
      </c>
      <c r="R204" s="109">
        <f t="shared" si="90"/>
        <v>0.14692270623453285</v>
      </c>
      <c r="S204" s="109">
        <f t="shared" si="90"/>
        <v>0.17613098210018477</v>
      </c>
      <c r="T204" s="109">
        <f t="shared" si="90"/>
        <v>0.10656690561727868</v>
      </c>
      <c r="U204" s="109">
        <f t="shared" si="90"/>
        <v>0.13950873311449938</v>
      </c>
      <c r="V204" s="109">
        <f t="shared" si="90"/>
        <v>0.1244290715853294</v>
      </c>
      <c r="W204" s="109">
        <f t="shared" si="90"/>
        <v>0.11150440180447045</v>
      </c>
      <c r="X204" s="109">
        <f t="shared" si="90"/>
        <v>0.11938013246040785</v>
      </c>
      <c r="Y204" s="110">
        <f t="shared" si="89"/>
        <v>0.12936552187670405</v>
      </c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</row>
    <row r="205" spans="1:42" s="6" customFormat="1" ht="17">
      <c r="A205"/>
      <c r="B205" s="105">
        <v>3</v>
      </c>
      <c r="C205" s="104" t="s">
        <v>11</v>
      </c>
      <c r="D205" s="103" t="s">
        <v>34</v>
      </c>
      <c r="E205" s="109">
        <f>E21/E20</f>
        <v>0.60035048024075821</v>
      </c>
      <c r="F205" s="109">
        <f t="shared" ref="F205:X205" si="91">F21/F20</f>
        <v>0.60035048024075821</v>
      </c>
      <c r="G205" s="109">
        <f t="shared" si="91"/>
        <v>0.60035048024075821</v>
      </c>
      <c r="H205" s="109">
        <f t="shared" si="91"/>
        <v>0.60035048024075821</v>
      </c>
      <c r="I205" s="109">
        <f t="shared" si="91"/>
        <v>0.5977626599874285</v>
      </c>
      <c r="J205" s="109">
        <f t="shared" si="91"/>
        <v>0.5937541048158137</v>
      </c>
      <c r="K205" s="109">
        <f t="shared" si="91"/>
        <v>0.59135930005322257</v>
      </c>
      <c r="L205" s="109">
        <f t="shared" si="91"/>
        <v>0.64296027162865832</v>
      </c>
      <c r="M205" s="109">
        <f t="shared" si="91"/>
        <v>0.59300267280516328</v>
      </c>
      <c r="N205" s="109">
        <f t="shared" si="91"/>
        <v>0.53920082968715655</v>
      </c>
      <c r="O205" s="109">
        <f t="shared" si="91"/>
        <v>0.51752028145690532</v>
      </c>
      <c r="P205" s="109">
        <f>P21/P20</f>
        <v>0.52632930014838153</v>
      </c>
      <c r="Q205" s="109">
        <f t="shared" si="91"/>
        <v>0.51951947483727601</v>
      </c>
      <c r="R205" s="109">
        <f t="shared" si="91"/>
        <v>0.54269119522726217</v>
      </c>
      <c r="S205" s="109">
        <f t="shared" si="91"/>
        <v>0.49506415087789263</v>
      </c>
      <c r="T205" s="109">
        <f t="shared" si="91"/>
        <v>0.51471224277594663</v>
      </c>
      <c r="U205" s="109">
        <f t="shared" si="91"/>
        <v>0.49323071226251824</v>
      </c>
      <c r="V205" s="109">
        <f t="shared" si="91"/>
        <v>0.47926467291669184</v>
      </c>
      <c r="W205" s="109">
        <f t="shared" si="91"/>
        <v>0.44376084645803027</v>
      </c>
      <c r="X205" s="109">
        <f t="shared" si="91"/>
        <v>0.41350966274529416</v>
      </c>
      <c r="Y205" s="110">
        <f t="shared" si="89"/>
        <v>0.54525221498233367</v>
      </c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</row>
    <row r="206" spans="1:42" s="6" customFormat="1" ht="17">
      <c r="A206"/>
      <c r="B206" s="105">
        <v>4</v>
      </c>
      <c r="C206" s="104" t="s">
        <v>12</v>
      </c>
      <c r="D206" s="103" t="s">
        <v>35</v>
      </c>
      <c r="E206" s="109">
        <f>E27/E26</f>
        <v>0.25851375519486997</v>
      </c>
      <c r="F206" s="109">
        <f t="shared" ref="F206:X206" si="92">F27/F26</f>
        <v>0.25758907354035221</v>
      </c>
      <c r="G206" s="109">
        <f t="shared" si="92"/>
        <v>0.28119201066538696</v>
      </c>
      <c r="H206" s="109">
        <f t="shared" si="92"/>
        <v>0.30716239528984807</v>
      </c>
      <c r="I206" s="109">
        <f t="shared" si="92"/>
        <v>2.6176430073474987E-2</v>
      </c>
      <c r="J206" s="109">
        <f t="shared" si="92"/>
        <v>0.3036640898227882</v>
      </c>
      <c r="K206" s="109">
        <f t="shared" si="92"/>
        <v>0.29525158382556899</v>
      </c>
      <c r="L206" s="109">
        <f t="shared" si="92"/>
        <v>0.27816893543931615</v>
      </c>
      <c r="M206" s="109">
        <f t="shared" si="92"/>
        <v>0.2723695755243955</v>
      </c>
      <c r="N206" s="109">
        <f t="shared" si="92"/>
        <v>0.24270229252397604</v>
      </c>
      <c r="O206" s="109">
        <f t="shared" si="92"/>
        <v>0.23330211869543446</v>
      </c>
      <c r="P206" s="109">
        <f>P27/P26</f>
        <v>0.21984357099587354</v>
      </c>
      <c r="Q206" s="109">
        <f t="shared" si="92"/>
        <v>0.21896980852736067</v>
      </c>
      <c r="R206" s="109">
        <f t="shared" si="92"/>
        <v>0.23386485372826982</v>
      </c>
      <c r="S206" s="109">
        <f t="shared" si="92"/>
        <v>0.21249048711366902</v>
      </c>
      <c r="T206" s="109">
        <f t="shared" si="92"/>
        <v>0.22376805412902065</v>
      </c>
      <c r="U206" s="109">
        <f t="shared" si="92"/>
        <v>0.22341487237386065</v>
      </c>
      <c r="V206" s="109">
        <f t="shared" si="92"/>
        <v>0.26009184412562408</v>
      </c>
      <c r="W206" s="109">
        <f t="shared" si="92"/>
        <v>0.24961152385501678</v>
      </c>
      <c r="X206" s="109">
        <f t="shared" si="92"/>
        <v>0.25708818103528341</v>
      </c>
      <c r="Y206" s="110">
        <f t="shared" si="89"/>
        <v>0.24276177282396949</v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</row>
    <row r="207" spans="1:42" s="6" customFormat="1" ht="17">
      <c r="A207"/>
      <c r="B207" s="105">
        <v>5</v>
      </c>
      <c r="C207" s="104" t="s">
        <v>13</v>
      </c>
      <c r="D207" s="103" t="s">
        <v>36</v>
      </c>
      <c r="E207" s="109">
        <f>E33/E32</f>
        <v>0.92264759324134848</v>
      </c>
      <c r="F207" s="109">
        <f t="shared" ref="F207:X207" si="93">F33/F32</f>
        <v>0.92264759324134848</v>
      </c>
      <c r="G207" s="109">
        <f t="shared" si="93"/>
        <v>0.92264759324134848</v>
      </c>
      <c r="H207" s="109">
        <f t="shared" si="93"/>
        <v>0.92264759324134848</v>
      </c>
      <c r="I207" s="109">
        <f t="shared" si="93"/>
        <v>1.1280697446143704</v>
      </c>
      <c r="J207" s="109">
        <f t="shared" si="93"/>
        <v>1.1933878928089328</v>
      </c>
      <c r="K207" s="109">
        <f t="shared" si="93"/>
        <v>1.2966713515718944</v>
      </c>
      <c r="L207" s="109">
        <f t="shared" si="93"/>
        <v>1.4786455227352726</v>
      </c>
      <c r="M207" s="109">
        <f t="shared" si="93"/>
        <v>1.6267678114880639</v>
      </c>
      <c r="N207" s="109">
        <f t="shared" si="93"/>
        <v>1.725536617876767</v>
      </c>
      <c r="O207" s="109">
        <f>O33/O32</f>
        <v>1.8480176339687513</v>
      </c>
      <c r="P207" s="109">
        <f t="shared" si="93"/>
        <v>2.0108725050006018</v>
      </c>
      <c r="Q207" s="109">
        <f t="shared" si="93"/>
        <v>2.1450233280129019</v>
      </c>
      <c r="R207" s="109">
        <f t="shared" si="93"/>
        <v>2.2366377435436884</v>
      </c>
      <c r="S207" s="109">
        <f t="shared" si="93"/>
        <v>2.3972176330431987</v>
      </c>
      <c r="T207" s="109">
        <f t="shared" si="93"/>
        <v>2.2722333519316451</v>
      </c>
      <c r="U207" s="109">
        <f t="shared" si="93"/>
        <v>2.1353178876471008</v>
      </c>
      <c r="V207" s="109">
        <f t="shared" si="93"/>
        <v>2.161577048208132</v>
      </c>
      <c r="W207" s="109">
        <f t="shared" si="93"/>
        <v>2.3361699469379666</v>
      </c>
      <c r="X207" s="109">
        <f t="shared" si="93"/>
        <v>2.2919776484311054</v>
      </c>
      <c r="Y207" s="110">
        <f t="shared" si="89"/>
        <v>1.6987357020392893</v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</row>
    <row r="208" spans="1:42" s="6" customFormat="1" ht="17">
      <c r="A208"/>
      <c r="B208" s="105">
        <v>6</v>
      </c>
      <c r="C208" s="104" t="s">
        <v>14</v>
      </c>
      <c r="D208" s="103" t="s">
        <v>37</v>
      </c>
      <c r="E208" s="109">
        <f>E39/E38</f>
        <v>0.78575048689607341</v>
      </c>
      <c r="F208" s="109">
        <f t="shared" ref="F208:W208" si="94">F39/F38</f>
        <v>0.8153304918236377</v>
      </c>
      <c r="G208" s="109">
        <f t="shared" si="94"/>
        <v>0.79373126278890305</v>
      </c>
      <c r="H208" s="109">
        <f t="shared" si="94"/>
        <v>0.83826855284107127</v>
      </c>
      <c r="I208" s="109">
        <f t="shared" si="94"/>
        <v>0.94523894249704987</v>
      </c>
      <c r="J208" s="109">
        <f t="shared" si="94"/>
        <v>1.0078520284531916</v>
      </c>
      <c r="K208" s="109">
        <f t="shared" si="94"/>
        <v>1.0459920383400048</v>
      </c>
      <c r="L208" s="109">
        <f t="shared" si="94"/>
        <v>1.1800767168900013</v>
      </c>
      <c r="M208" s="109">
        <f t="shared" si="94"/>
        <v>1.2194703808264344</v>
      </c>
      <c r="N208" s="109">
        <f t="shared" si="94"/>
        <v>1.281596239723763</v>
      </c>
      <c r="O208" s="109">
        <f t="shared" si="94"/>
        <v>1.3826834901686793</v>
      </c>
      <c r="P208" s="109">
        <f>P39/P38</f>
        <v>1.8494753267617414</v>
      </c>
      <c r="Q208" s="109">
        <f t="shared" si="94"/>
        <v>1.8987914587247487</v>
      </c>
      <c r="R208" s="109">
        <f t="shared" si="94"/>
        <v>1.4011434200395319</v>
      </c>
      <c r="S208" s="109">
        <f t="shared" si="94"/>
        <v>1.4098130911689035</v>
      </c>
      <c r="T208" s="109">
        <f t="shared" si="94"/>
        <v>1.24620632668817</v>
      </c>
      <c r="U208" s="109">
        <f t="shared" si="94"/>
        <v>1.2655930429320061</v>
      </c>
      <c r="V208" s="109">
        <f t="shared" si="94"/>
        <v>1.2563014377403403</v>
      </c>
      <c r="W208" s="109">
        <f t="shared" si="94"/>
        <v>1.261644516912996</v>
      </c>
      <c r="X208" s="109">
        <f>X39/X38</f>
        <v>1.1906651085030124</v>
      </c>
      <c r="Y208" s="110">
        <f t="shared" si="89"/>
        <v>1.203781218036013</v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</row>
    <row r="209" spans="1:42" s="6" customFormat="1" ht="17">
      <c r="A209"/>
      <c r="B209" s="105">
        <v>7</v>
      </c>
      <c r="C209" s="104" t="s">
        <v>15</v>
      </c>
      <c r="D209" s="103" t="s">
        <v>38</v>
      </c>
      <c r="E209" s="109">
        <f>E45/E44</f>
        <v>0.15091140039179643</v>
      </c>
      <c r="F209" s="109">
        <f t="shared" ref="F209:X209" si="95">F45/F44</f>
        <v>0.15091140039179643</v>
      </c>
      <c r="G209" s="109">
        <f t="shared" si="95"/>
        <v>0.15091140039179643</v>
      </c>
      <c r="H209" s="109">
        <f t="shared" si="95"/>
        <v>0.13700458650192654</v>
      </c>
      <c r="I209" s="109">
        <f t="shared" si="95"/>
        <v>0.17102986608893564</v>
      </c>
      <c r="J209" s="109">
        <f t="shared" si="95"/>
        <v>0.16524846162475826</v>
      </c>
      <c r="K209" s="109">
        <f t="shared" si="95"/>
        <v>0.17641370433606396</v>
      </c>
      <c r="L209" s="109">
        <f t="shared" si="95"/>
        <v>0.19353452130139071</v>
      </c>
      <c r="M209" s="109">
        <f t="shared" si="95"/>
        <v>0.19665052333675329</v>
      </c>
      <c r="N209" s="109">
        <f t="shared" si="95"/>
        <v>0.1877176851415274</v>
      </c>
      <c r="O209" s="109">
        <f t="shared" si="95"/>
        <v>0.18565999057136109</v>
      </c>
      <c r="P209" s="109">
        <f>P45/P44</f>
        <v>1.9764284030164243</v>
      </c>
      <c r="Q209" s="109">
        <f t="shared" si="95"/>
        <v>0.21987604394023164</v>
      </c>
      <c r="R209" s="109">
        <f t="shared" si="95"/>
        <v>0.18982471118859989</v>
      </c>
      <c r="S209" s="109">
        <f t="shared" si="95"/>
        <v>0.19032419886219021</v>
      </c>
      <c r="T209" s="109">
        <f t="shared" si="95"/>
        <v>0.24029998505263994</v>
      </c>
      <c r="U209" s="109">
        <f t="shared" si="95"/>
        <v>0.24291310918809259</v>
      </c>
      <c r="V209" s="109">
        <f t="shared" si="95"/>
        <v>0.22928558169579843</v>
      </c>
      <c r="W209" s="109">
        <f t="shared" si="95"/>
        <v>0.22994199902839613</v>
      </c>
      <c r="X209" s="109">
        <f t="shared" si="95"/>
        <v>0.14545467044701163</v>
      </c>
      <c r="Y209" s="110">
        <f t="shared" si="89"/>
        <v>0.27651711212487456</v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</row>
    <row r="210" spans="1:42" s="6" customFormat="1" ht="17">
      <c r="A210"/>
      <c r="B210" s="105">
        <v>8</v>
      </c>
      <c r="C210" s="104" t="s">
        <v>16</v>
      </c>
      <c r="D210" s="103" t="s">
        <v>39</v>
      </c>
      <c r="E210" s="109">
        <f>E51/E50</f>
        <v>0.30963258429121532</v>
      </c>
      <c r="F210" s="109">
        <f t="shared" ref="F210:X210" si="96">F51/F50</f>
        <v>0.30498394625830788</v>
      </c>
      <c r="G210" s="109">
        <f t="shared" si="96"/>
        <v>0.2893581622676521</v>
      </c>
      <c r="H210" s="109">
        <f t="shared" si="96"/>
        <v>0.33266368053486417</v>
      </c>
      <c r="I210" s="109">
        <f t="shared" si="96"/>
        <v>0.31893984338971326</v>
      </c>
      <c r="J210" s="109">
        <f t="shared" si="96"/>
        <v>0.32902825657145374</v>
      </c>
      <c r="K210" s="109">
        <f t="shared" si="96"/>
        <v>0.3336670840087046</v>
      </c>
      <c r="L210" s="109">
        <f t="shared" si="96"/>
        <v>0.32071858798987307</v>
      </c>
      <c r="M210" s="109">
        <f t="shared" si="96"/>
        <v>0.31840360453729022</v>
      </c>
      <c r="N210" s="109">
        <f t="shared" si="96"/>
        <v>0.32035113307330376</v>
      </c>
      <c r="O210" s="109">
        <f t="shared" si="96"/>
        <v>0.31840777523187996</v>
      </c>
      <c r="P210" s="109">
        <f t="shared" si="96"/>
        <v>0.32588441486600861</v>
      </c>
      <c r="Q210" s="109">
        <f t="shared" si="96"/>
        <v>0.32709897585593001</v>
      </c>
      <c r="R210" s="109">
        <f t="shared" si="96"/>
        <v>0.33902327896194351</v>
      </c>
      <c r="S210" s="109">
        <f t="shared" si="96"/>
        <v>0.32794130116029768</v>
      </c>
      <c r="T210" s="109">
        <f t="shared" si="96"/>
        <v>0.35519491558100386</v>
      </c>
      <c r="U210" s="109">
        <f t="shared" si="96"/>
        <v>0.35125517159854341</v>
      </c>
      <c r="V210" s="109">
        <f t="shared" si="96"/>
        <v>0.34752455907357555</v>
      </c>
      <c r="W210" s="109">
        <f t="shared" si="96"/>
        <v>0.33151424045301237</v>
      </c>
      <c r="X210" s="109">
        <f t="shared" si="96"/>
        <v>0.33500978976707912</v>
      </c>
      <c r="Y210" s="110">
        <f t="shared" si="89"/>
        <v>0.3268300652735826</v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</row>
    <row r="211" spans="1:42" s="6" customFormat="1" ht="17">
      <c r="A211"/>
      <c r="B211" s="105">
        <v>9</v>
      </c>
      <c r="C211" s="104" t="s">
        <v>17</v>
      </c>
      <c r="D211" s="103" t="s">
        <v>40</v>
      </c>
      <c r="E211" s="109">
        <f>E57/E56</f>
        <v>0.48543480908502556</v>
      </c>
      <c r="F211" s="109">
        <f t="shared" ref="F211:X211" si="97">F57/F56</f>
        <v>0.48543480908502556</v>
      </c>
      <c r="G211" s="109">
        <f t="shared" si="97"/>
        <v>0.49601833458841116</v>
      </c>
      <c r="H211" s="109">
        <f t="shared" si="97"/>
        <v>1.2035918939262285</v>
      </c>
      <c r="I211" s="109">
        <f t="shared" si="97"/>
        <v>1.3462116539568885</v>
      </c>
      <c r="J211" s="109">
        <f t="shared" si="97"/>
        <v>1.4761194467227499</v>
      </c>
      <c r="K211" s="109">
        <f t="shared" si="97"/>
        <v>1.7694920547610362</v>
      </c>
      <c r="L211" s="109">
        <f t="shared" si="97"/>
        <v>1.3253764064031794</v>
      </c>
      <c r="M211" s="109">
        <f t="shared" si="97"/>
        <v>0.23349014509503813</v>
      </c>
      <c r="N211" s="109">
        <f t="shared" si="97"/>
        <v>0.21185392171340722</v>
      </c>
      <c r="O211" s="109">
        <f t="shared" si="97"/>
        <v>0.21933098686121222</v>
      </c>
      <c r="P211" s="109">
        <f t="shared" si="97"/>
        <v>0.11524248961292681</v>
      </c>
      <c r="Q211" s="109">
        <f>Q57/Q56</f>
        <v>0.13777399275999935</v>
      </c>
      <c r="R211" s="109">
        <f t="shared" si="97"/>
        <v>0.16708136681439517</v>
      </c>
      <c r="S211" s="109">
        <f t="shared" si="97"/>
        <v>0.14022625565284319</v>
      </c>
      <c r="T211" s="109">
        <f t="shared" si="97"/>
        <v>0.1705886274835888</v>
      </c>
      <c r="U211" s="109">
        <f t="shared" si="97"/>
        <v>0.1663501807064944</v>
      </c>
      <c r="V211" s="109">
        <f t="shared" si="97"/>
        <v>0.12771506071861002</v>
      </c>
      <c r="W211" s="109">
        <f t="shared" si="97"/>
        <v>0.12030997490513248</v>
      </c>
      <c r="X211" s="109">
        <f t="shared" si="97"/>
        <v>0.11940464757277433</v>
      </c>
      <c r="Y211" s="110">
        <f t="shared" si="89"/>
        <v>0.52585235292124843</v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</row>
    <row r="212" spans="1:42" s="6" customFormat="1" ht="17">
      <c r="A212"/>
      <c r="B212" s="105">
        <v>10</v>
      </c>
      <c r="C212" s="102" t="s">
        <v>18</v>
      </c>
      <c r="D212" s="103" t="s">
        <v>41</v>
      </c>
      <c r="E212" s="109">
        <f>E63/E62</f>
        <v>0.46422866870563029</v>
      </c>
      <c r="F212" s="109">
        <f t="shared" ref="F212:X212" si="98">F63/F62</f>
        <v>0.47703566323954483</v>
      </c>
      <c r="G212" s="109">
        <f t="shared" si="98"/>
        <v>0.48601612850799258</v>
      </c>
      <c r="H212" s="109">
        <f t="shared" si="98"/>
        <v>0.76491976759028779</v>
      </c>
      <c r="I212" s="109">
        <f t="shared" si="98"/>
        <v>0.98628732347043468</v>
      </c>
      <c r="J212" s="109">
        <f t="shared" si="98"/>
        <v>0.90148811410560814</v>
      </c>
      <c r="K212" s="109">
        <f t="shared" si="98"/>
        <v>0.96533774878019241</v>
      </c>
      <c r="L212" s="109">
        <f t="shared" si="98"/>
        <v>0.9563340867565765</v>
      </c>
      <c r="M212" s="109">
        <f t="shared" si="98"/>
        <v>0.99748676367568101</v>
      </c>
      <c r="N212" s="109">
        <f t="shared" si="98"/>
        <v>1.0406119148805992</v>
      </c>
      <c r="O212" s="109">
        <f t="shared" si="98"/>
        <v>1.0062641476421108</v>
      </c>
      <c r="P212" s="109">
        <f>P63/P62</f>
        <v>1.0111984490957036</v>
      </c>
      <c r="Q212" s="109">
        <f t="shared" si="98"/>
        <v>0.99740395270564186</v>
      </c>
      <c r="R212" s="109">
        <f t="shared" si="98"/>
        <v>0.99789658864029429</v>
      </c>
      <c r="S212" s="109">
        <f t="shared" si="98"/>
        <v>0.99718618538681258</v>
      </c>
      <c r="T212" s="109">
        <f t="shared" si="98"/>
        <v>0.97655202794199514</v>
      </c>
      <c r="U212" s="109">
        <f t="shared" si="98"/>
        <v>0.95658098440033912</v>
      </c>
      <c r="V212" s="109">
        <f t="shared" si="98"/>
        <v>0.95973953569464165</v>
      </c>
      <c r="W212" s="109">
        <f t="shared" si="98"/>
        <v>0.9728058881254843</v>
      </c>
      <c r="X212" s="109">
        <f t="shared" si="98"/>
        <v>0.18450231980899343</v>
      </c>
      <c r="Y212" s="110">
        <f t="shared" si="89"/>
        <v>0.85499381295772814</v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</row>
    <row r="213" spans="1:42" s="6" customFormat="1" ht="17">
      <c r="A213"/>
      <c r="B213" s="105">
        <v>11</v>
      </c>
      <c r="C213" s="104" t="s">
        <v>19</v>
      </c>
      <c r="D213" s="103" t="s">
        <v>42</v>
      </c>
      <c r="E213" s="109">
        <f>E69/E68</f>
        <v>0.48076082147031807</v>
      </c>
      <c r="F213" s="109">
        <f t="shared" ref="F213:X213" si="99">F69/F68</f>
        <v>0.48076082147031807</v>
      </c>
      <c r="G213" s="109">
        <f t="shared" si="99"/>
        <v>0.49823327801429951</v>
      </c>
      <c r="H213" s="109">
        <f t="shared" si="99"/>
        <v>0.52279617478777329</v>
      </c>
      <c r="I213" s="109">
        <f t="shared" si="99"/>
        <v>0.53623711061244772</v>
      </c>
      <c r="J213" s="109">
        <f t="shared" si="99"/>
        <v>0.52315130259529696</v>
      </c>
      <c r="K213" s="109">
        <f t="shared" si="99"/>
        <v>0.52216934092562772</v>
      </c>
      <c r="L213" s="109">
        <f t="shared" si="99"/>
        <v>0.57890286400902746</v>
      </c>
      <c r="M213" s="109">
        <f t="shared" si="99"/>
        <v>0.55796906283473691</v>
      </c>
      <c r="N213" s="109">
        <f t="shared" si="99"/>
        <v>0.56250397200670721</v>
      </c>
      <c r="O213" s="109">
        <f t="shared" si="99"/>
        <v>0.53379213659355262</v>
      </c>
      <c r="P213" s="109">
        <f t="shared" si="99"/>
        <v>0.48450464168258972</v>
      </c>
      <c r="Q213" s="109">
        <f t="shared" si="99"/>
        <v>0.54622398127262928</v>
      </c>
      <c r="R213" s="109">
        <f t="shared" si="99"/>
        <v>0.50438966163469767</v>
      </c>
      <c r="S213" s="109">
        <f t="shared" si="99"/>
        <v>0.45813368148924882</v>
      </c>
      <c r="T213" s="109">
        <f t="shared" si="99"/>
        <v>0.43950609518718375</v>
      </c>
      <c r="U213" s="109">
        <f t="shared" si="99"/>
        <v>0.43668275004091678</v>
      </c>
      <c r="V213" s="109">
        <f t="shared" si="99"/>
        <v>0.45250441247681383</v>
      </c>
      <c r="W213" s="109">
        <f t="shared" si="99"/>
        <v>0.45041076997318003</v>
      </c>
      <c r="X213" s="109">
        <f t="shared" si="99"/>
        <v>0.45462707932918095</v>
      </c>
      <c r="Y213" s="110">
        <f t="shared" si="89"/>
        <v>0.50121299792032736</v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</row>
    <row r="214" spans="1:42" s="6" customFormat="1" ht="17">
      <c r="A214"/>
      <c r="B214" s="105">
        <v>12</v>
      </c>
      <c r="C214" s="104" t="s">
        <v>20</v>
      </c>
      <c r="D214" s="103" t="s">
        <v>43</v>
      </c>
      <c r="E214" s="109">
        <f>E75/E74</f>
        <v>1.5758072857518541</v>
      </c>
      <c r="F214" s="109">
        <f t="shared" ref="F214:X214" si="100">F75/F74</f>
        <v>1.3051448854965904</v>
      </c>
      <c r="G214" s="109">
        <f t="shared" si="100"/>
        <v>2.0444940274063081</v>
      </c>
      <c r="H214" s="109">
        <f t="shared" si="100"/>
        <v>1.947413717684495</v>
      </c>
      <c r="I214" s="109">
        <f t="shared" si="100"/>
        <v>2.1697933375096143</v>
      </c>
      <c r="J214" s="109">
        <f t="shared" si="100"/>
        <v>2.3760903945679797</v>
      </c>
      <c r="K214" s="109">
        <f t="shared" si="100"/>
        <v>2.6197961839686497</v>
      </c>
      <c r="L214" s="109">
        <f t="shared" si="100"/>
        <v>3.1386009733346625</v>
      </c>
      <c r="M214" s="109">
        <f t="shared" si="100"/>
        <v>1.817436111921368</v>
      </c>
      <c r="N214" s="109">
        <f t="shared" si="100"/>
        <v>1.8265987205727159</v>
      </c>
      <c r="O214" s="109">
        <f t="shared" si="100"/>
        <v>2.395983598760937</v>
      </c>
      <c r="P214" s="109">
        <f>P75/P74</f>
        <v>0.16445686065305334</v>
      </c>
      <c r="Q214" s="109">
        <f t="shared" si="100"/>
        <v>0.15802944439627251</v>
      </c>
      <c r="R214" s="109">
        <f t="shared" si="100"/>
        <v>0.14975256198203812</v>
      </c>
      <c r="S214" s="109">
        <f>S75/S74</f>
        <v>0.16441030188609276</v>
      </c>
      <c r="T214" s="109">
        <f t="shared" si="100"/>
        <v>0.15958747246843472</v>
      </c>
      <c r="U214" s="109">
        <f t="shared" si="100"/>
        <v>0.15895038974708198</v>
      </c>
      <c r="V214" s="109">
        <f t="shared" si="100"/>
        <v>0.15773041288217965</v>
      </c>
      <c r="W214" s="109">
        <f t="shared" si="100"/>
        <v>0.15941323998744353</v>
      </c>
      <c r="X214" s="109">
        <f t="shared" si="100"/>
        <v>0.16769262957909406</v>
      </c>
      <c r="Y214" s="110">
        <f t="shared" si="89"/>
        <v>1.2328591275278433</v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</row>
    <row r="215" spans="1:42" s="6" customFormat="1" ht="17">
      <c r="A215"/>
      <c r="B215" s="105">
        <v>13</v>
      </c>
      <c r="C215" s="104" t="s">
        <v>21</v>
      </c>
      <c r="D215" s="103" t="s">
        <v>44</v>
      </c>
      <c r="E215" s="109">
        <f>E81/E80</f>
        <v>0.63775234182088725</v>
      </c>
      <c r="F215" s="109">
        <f t="shared" ref="F215:X215" si="101">F81/F80</f>
        <v>0.63775234182088725</v>
      </c>
      <c r="G215" s="109">
        <f t="shared" si="101"/>
        <v>0.63775234182088725</v>
      </c>
      <c r="H215" s="109">
        <f t="shared" si="101"/>
        <v>0.63775234182088725</v>
      </c>
      <c r="I215" s="109">
        <f t="shared" si="101"/>
        <v>0.65557742562099663</v>
      </c>
      <c r="J215" s="109">
        <f t="shared" si="101"/>
        <v>0.64521994099026958</v>
      </c>
      <c r="K215" s="109">
        <f t="shared" si="101"/>
        <v>0.65011726394981728</v>
      </c>
      <c r="L215" s="109">
        <f t="shared" si="101"/>
        <v>0.68440646957029372</v>
      </c>
      <c r="M215" s="109">
        <f t="shared" si="101"/>
        <v>0.68634138815689616</v>
      </c>
      <c r="N215" s="109">
        <f t="shared" si="101"/>
        <v>0.62509421265804332</v>
      </c>
      <c r="O215" s="109">
        <f t="shared" si="101"/>
        <v>0.60030513157947851</v>
      </c>
      <c r="P215" s="109">
        <f t="shared" si="101"/>
        <v>0.61941709521989052</v>
      </c>
      <c r="Q215" s="109">
        <f>Q81/Q80</f>
        <v>0.56426655222014088</v>
      </c>
      <c r="R215" s="109">
        <f t="shared" si="101"/>
        <v>0.56426655222014088</v>
      </c>
      <c r="S215" s="109">
        <f t="shared" si="101"/>
        <v>0.46214879524809566</v>
      </c>
      <c r="T215" s="109">
        <f t="shared" si="101"/>
        <v>0.49463766121645047</v>
      </c>
      <c r="U215" s="109">
        <f t="shared" si="101"/>
        <v>0.4099062023990917</v>
      </c>
      <c r="V215" s="109">
        <f t="shared" si="101"/>
        <v>0.42987306357425964</v>
      </c>
      <c r="W215" s="109">
        <f t="shared" si="101"/>
        <v>0.39080433905343109</v>
      </c>
      <c r="X215" s="109">
        <f t="shared" si="101"/>
        <v>0.36514361076961571</v>
      </c>
      <c r="Y215" s="110">
        <f t="shared" si="89"/>
        <v>0.56992675358652312</v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</row>
    <row r="216" spans="1:42" s="6" customFormat="1" ht="17">
      <c r="A216"/>
      <c r="B216" s="105">
        <v>14</v>
      </c>
      <c r="C216" s="104" t="s">
        <v>22</v>
      </c>
      <c r="D216" s="103" t="s">
        <v>45</v>
      </c>
      <c r="E216" s="109">
        <f>E87/E86</f>
        <v>0.52731821276186319</v>
      </c>
      <c r="F216" s="109">
        <f t="shared" ref="F216:X216" si="102">F87/F86</f>
        <v>0.5148237819912258</v>
      </c>
      <c r="G216" s="109">
        <f t="shared" si="102"/>
        <v>0.49542336336516302</v>
      </c>
      <c r="H216" s="109">
        <f t="shared" si="102"/>
        <v>0.43669651433356149</v>
      </c>
      <c r="I216" s="109">
        <f t="shared" si="102"/>
        <v>0.44104806158211901</v>
      </c>
      <c r="J216" s="109">
        <f t="shared" si="102"/>
        <v>0.45744896675278662</v>
      </c>
      <c r="K216" s="109">
        <f t="shared" si="102"/>
        <v>0.47001452234802826</v>
      </c>
      <c r="L216" s="109">
        <f t="shared" si="102"/>
        <v>0.46579861989916105</v>
      </c>
      <c r="M216" s="109">
        <f t="shared" si="102"/>
        <v>0.47607282842586968</v>
      </c>
      <c r="N216" s="109">
        <f t="shared" si="102"/>
        <v>0.47907473024394298</v>
      </c>
      <c r="O216" s="109">
        <f t="shared" si="102"/>
        <v>0.48289525480544532</v>
      </c>
      <c r="P216" s="109">
        <f t="shared" si="102"/>
        <v>0.51230030455750153</v>
      </c>
      <c r="Q216" s="109">
        <f>Q87/Q86</f>
        <v>0.49701897932693795</v>
      </c>
      <c r="R216" s="109">
        <f t="shared" si="102"/>
        <v>0.4817121454313914</v>
      </c>
      <c r="S216" s="109">
        <f t="shared" si="102"/>
        <v>0.32759460097071041</v>
      </c>
      <c r="T216" s="109">
        <f t="shared" si="102"/>
        <v>0.325373538807742</v>
      </c>
      <c r="U216" s="109">
        <f t="shared" si="102"/>
        <v>0.32942220013050888</v>
      </c>
      <c r="V216" s="109">
        <f t="shared" si="102"/>
        <v>0.34822488648297278</v>
      </c>
      <c r="W216" s="109">
        <f t="shared" si="102"/>
        <v>0.35198078348793171</v>
      </c>
      <c r="X216" s="109">
        <f t="shared" si="102"/>
        <v>0.49816152178415135</v>
      </c>
      <c r="Y216" s="110">
        <f t="shared" si="89"/>
        <v>0.44592019087445073</v>
      </c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</row>
    <row r="217" spans="1:42" s="6" customFormat="1" ht="17">
      <c r="A217"/>
      <c r="B217" s="105">
        <v>15</v>
      </c>
      <c r="C217" s="104" t="s">
        <v>23</v>
      </c>
      <c r="D217" s="103" t="s">
        <v>46</v>
      </c>
      <c r="E217" s="109">
        <f>E93/E92</f>
        <v>0.5483097834278915</v>
      </c>
      <c r="F217" s="109">
        <f t="shared" ref="F217:X217" si="103">F93/F92</f>
        <v>0.5483097834278915</v>
      </c>
      <c r="G217" s="109">
        <f t="shared" si="103"/>
        <v>0.5483097834278915</v>
      </c>
      <c r="H217" s="109">
        <f t="shared" si="103"/>
        <v>0.35064154148071008</v>
      </c>
      <c r="I217" s="109">
        <f t="shared" si="103"/>
        <v>0.26676807581173084</v>
      </c>
      <c r="J217" s="109">
        <f t="shared" si="103"/>
        <v>0.34268234798428082</v>
      </c>
      <c r="K217" s="109">
        <f t="shared" si="103"/>
        <v>0.4568669627480737</v>
      </c>
      <c r="L217" s="109">
        <f t="shared" si="103"/>
        <v>0.60649751549131103</v>
      </c>
      <c r="M217" s="109">
        <f t="shared" si="103"/>
        <v>0.60008399940982837</v>
      </c>
      <c r="N217" s="109">
        <f t="shared" si="103"/>
        <v>0.62752962243678767</v>
      </c>
      <c r="O217" s="109">
        <f>O93/O92</f>
        <v>0.5357945494452353</v>
      </c>
      <c r="P217" s="109">
        <f t="shared" si="103"/>
        <v>0.53176931722509424</v>
      </c>
      <c r="Q217" s="109">
        <f t="shared" si="103"/>
        <v>0.52445279077577123</v>
      </c>
      <c r="R217" s="109">
        <f t="shared" si="103"/>
        <v>0.51875811804576022</v>
      </c>
      <c r="S217" s="109">
        <f t="shared" si="103"/>
        <v>0.52160489117975406</v>
      </c>
      <c r="T217" s="109">
        <f t="shared" si="103"/>
        <v>0.7579944138202297</v>
      </c>
      <c r="U217" s="109">
        <f t="shared" si="103"/>
        <v>0.79195726033072256</v>
      </c>
      <c r="V217" s="109">
        <f t="shared" si="103"/>
        <v>0.78226685289340381</v>
      </c>
      <c r="W217" s="109">
        <f t="shared" si="103"/>
        <v>0.77434967144932587</v>
      </c>
      <c r="X217" s="109">
        <f t="shared" si="103"/>
        <v>0.72838658213355323</v>
      </c>
      <c r="Y217" s="110">
        <f t="shared" si="89"/>
        <v>0.5681666931472622</v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</row>
    <row r="218" spans="1:42" s="6" customFormat="1" ht="17">
      <c r="A218"/>
      <c r="B218" s="105">
        <v>16</v>
      </c>
      <c r="C218" s="104" t="s">
        <v>24</v>
      </c>
      <c r="D218" s="103" t="s">
        <v>47</v>
      </c>
      <c r="E218" s="109">
        <f>E99/E98</f>
        <v>0.2652048831488345</v>
      </c>
      <c r="F218" s="109">
        <f t="shared" ref="F218:X218" si="104">F99/F98</f>
        <v>0.2652048831488345</v>
      </c>
      <c r="G218" s="109">
        <f t="shared" si="104"/>
        <v>0.2652048831488345</v>
      </c>
      <c r="H218" s="109">
        <f t="shared" si="104"/>
        <v>0.26206881764793805</v>
      </c>
      <c r="I218" s="109">
        <f t="shared" si="104"/>
        <v>0.25844829291954935</v>
      </c>
      <c r="J218" s="109">
        <f t="shared" si="104"/>
        <v>0.25606698714252796</v>
      </c>
      <c r="K218" s="109">
        <f t="shared" si="104"/>
        <v>0.26066947519842398</v>
      </c>
      <c r="L218" s="109">
        <f t="shared" si="104"/>
        <v>0.26294439680590087</v>
      </c>
      <c r="M218" s="109">
        <f t="shared" si="104"/>
        <v>0.27468858256302581</v>
      </c>
      <c r="N218" s="109">
        <f t="shared" si="104"/>
        <v>0.26604076545367111</v>
      </c>
      <c r="O218" s="109">
        <f t="shared" si="104"/>
        <v>0.25365843270443378</v>
      </c>
      <c r="P218" s="109">
        <f t="shared" si="104"/>
        <v>0.23538530770178842</v>
      </c>
      <c r="Q218" s="109">
        <f t="shared" si="104"/>
        <v>0.22603615736975388</v>
      </c>
      <c r="R218" s="109">
        <f t="shared" si="104"/>
        <v>0.22718287246001101</v>
      </c>
      <c r="S218" s="109">
        <f t="shared" si="104"/>
        <v>0.22694566958165138</v>
      </c>
      <c r="T218" s="109">
        <f t="shared" si="104"/>
        <v>0.23170475715356897</v>
      </c>
      <c r="U218" s="109">
        <f t="shared" si="104"/>
        <v>0.23601014279704596</v>
      </c>
      <c r="V218" s="109">
        <f t="shared" si="104"/>
        <v>0.2384230918934285</v>
      </c>
      <c r="W218" s="109">
        <f>W99/W98</f>
        <v>0.22575740523578502</v>
      </c>
      <c r="X218" s="109">
        <f t="shared" si="104"/>
        <v>0.21833635751486993</v>
      </c>
      <c r="Y218" s="110">
        <f t="shared" si="89"/>
        <v>0.24779910807949385</v>
      </c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</row>
    <row r="219" spans="1:42" s="6" customFormat="1" ht="17">
      <c r="A219"/>
      <c r="B219" s="105">
        <v>17</v>
      </c>
      <c r="C219" s="104" t="s">
        <v>25</v>
      </c>
      <c r="D219" s="103" t="s">
        <v>48</v>
      </c>
      <c r="E219" s="109">
        <f>E105/E104</f>
        <v>0.16783745002218756</v>
      </c>
      <c r="F219" s="109">
        <f t="shared" ref="F219:W219" si="105">F105/F104</f>
        <v>0.16783745002218756</v>
      </c>
      <c r="G219" s="109">
        <f t="shared" si="105"/>
        <v>0.14285350146332135</v>
      </c>
      <c r="H219" s="109">
        <f t="shared" si="105"/>
        <v>0.17230649376389459</v>
      </c>
      <c r="I219" s="109">
        <f t="shared" si="105"/>
        <v>0.19072295485025503</v>
      </c>
      <c r="J219" s="109">
        <f t="shared" si="105"/>
        <v>0.23482566600757351</v>
      </c>
      <c r="K219" s="109">
        <f t="shared" si="105"/>
        <v>0.18789397455811541</v>
      </c>
      <c r="L219" s="109">
        <f t="shared" si="105"/>
        <v>0.16923377486561014</v>
      </c>
      <c r="M219" s="109">
        <f t="shared" si="105"/>
        <v>0.165635685029378</v>
      </c>
      <c r="N219" s="109">
        <f t="shared" si="105"/>
        <v>0.17871066144887085</v>
      </c>
      <c r="O219" s="109">
        <f t="shared" si="105"/>
        <v>0.18114736847684493</v>
      </c>
      <c r="P219" s="109">
        <f t="shared" si="105"/>
        <v>0.21547472701836068</v>
      </c>
      <c r="Q219" s="109">
        <f t="shared" si="105"/>
        <v>0.17935125052166362</v>
      </c>
      <c r="R219" s="109">
        <f t="shared" si="105"/>
        <v>0.20476200841115083</v>
      </c>
      <c r="S219" s="109">
        <f t="shared" si="105"/>
        <v>0.15735287726454303</v>
      </c>
      <c r="T219" s="109">
        <f t="shared" si="105"/>
        <v>0.19765462359876543</v>
      </c>
      <c r="U219" s="109">
        <f t="shared" si="105"/>
        <v>0.16402514985346442</v>
      </c>
      <c r="V219" s="109">
        <f t="shared" si="105"/>
        <v>0.13356575953424943</v>
      </c>
      <c r="W219" s="109">
        <f t="shared" si="105"/>
        <v>0.17408567643412381</v>
      </c>
      <c r="X219" s="109">
        <f>X105/X104</f>
        <v>0.17961385896348081</v>
      </c>
      <c r="Y219" s="110">
        <f t="shared" si="89"/>
        <v>0.17824454560540204</v>
      </c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</row>
    <row r="220" spans="1:42" s="6" customFormat="1" ht="17">
      <c r="A220"/>
      <c r="B220" s="105">
        <v>18</v>
      </c>
      <c r="C220" s="104" t="s">
        <v>26</v>
      </c>
      <c r="D220" s="103" t="s">
        <v>49</v>
      </c>
      <c r="E220" s="109">
        <f>E111/E110</f>
        <v>0.61765243744201526</v>
      </c>
      <c r="F220" s="109">
        <f t="shared" ref="F220:X220" si="106">F111/F110</f>
        <v>0.60293591564156856</v>
      </c>
      <c r="G220" s="109">
        <f t="shared" si="106"/>
        <v>0.4956861222355452</v>
      </c>
      <c r="H220" s="109">
        <f t="shared" si="106"/>
        <v>0.59246617624452658</v>
      </c>
      <c r="I220" s="109">
        <f t="shared" si="106"/>
        <v>0.58607801919906233</v>
      </c>
      <c r="J220" s="109">
        <f t="shared" si="106"/>
        <v>0.5730387358276855</v>
      </c>
      <c r="K220" s="109">
        <f t="shared" si="106"/>
        <v>0.56624580059398832</v>
      </c>
      <c r="L220" s="109">
        <f t="shared" si="106"/>
        <v>0.58145738208557896</v>
      </c>
      <c r="M220" s="109">
        <f t="shared" si="106"/>
        <v>0.59567810594309012</v>
      </c>
      <c r="N220" s="109">
        <f t="shared" si="106"/>
        <v>0.64098685192176241</v>
      </c>
      <c r="O220" s="109">
        <f t="shared" si="106"/>
        <v>0.65588273806698771</v>
      </c>
      <c r="P220" s="109">
        <f t="shared" si="106"/>
        <v>0.70037289057677998</v>
      </c>
      <c r="Q220" s="109">
        <f>Q111/Q110</f>
        <v>0.72669873772243376</v>
      </c>
      <c r="R220" s="109">
        <f t="shared" si="106"/>
        <v>0.74302871239378809</v>
      </c>
      <c r="S220" s="109">
        <f t="shared" si="106"/>
        <v>0.7634664196999863</v>
      </c>
      <c r="T220" s="109">
        <f t="shared" si="106"/>
        <v>0.78536284942669055</v>
      </c>
      <c r="U220" s="109">
        <f t="shared" si="106"/>
        <v>0.66142930285230017</v>
      </c>
      <c r="V220" s="109">
        <f t="shared" si="106"/>
        <v>0.64694634503477666</v>
      </c>
      <c r="W220" s="109">
        <f t="shared" si="106"/>
        <v>0.64132151218751388</v>
      </c>
      <c r="X220" s="109">
        <f t="shared" si="106"/>
        <v>0.6722816697488857</v>
      </c>
      <c r="Y220" s="110">
        <f t="shared" si="89"/>
        <v>0.6424508362422483</v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</row>
    <row r="221" spans="1:42" s="6" customFormat="1" ht="17">
      <c r="A221"/>
      <c r="B221" s="105">
        <v>19</v>
      </c>
      <c r="C221" s="104" t="s">
        <v>27</v>
      </c>
      <c r="D221" s="103" t="s">
        <v>50</v>
      </c>
      <c r="E221" s="109">
        <f>E117/E116</f>
        <v>0.36354438669767564</v>
      </c>
      <c r="F221" s="109">
        <f t="shared" ref="F221:X221" si="107">F117/F116</f>
        <v>0.29103219351087162</v>
      </c>
      <c r="G221" s="109">
        <f t="shared" si="107"/>
        <v>0.29124574008120635</v>
      </c>
      <c r="H221" s="109">
        <f t="shared" si="107"/>
        <v>0.32033883217914505</v>
      </c>
      <c r="I221" s="109">
        <f t="shared" si="107"/>
        <v>0.33718522947045099</v>
      </c>
      <c r="J221" s="109">
        <f t="shared" si="107"/>
        <v>0.37727682180440941</v>
      </c>
      <c r="K221" s="109">
        <f t="shared" si="107"/>
        <v>0.35533086609931241</v>
      </c>
      <c r="L221" s="109">
        <f t="shared" si="107"/>
        <v>0.3442532419957241</v>
      </c>
      <c r="M221" s="109">
        <f t="shared" si="107"/>
        <v>0.3646917807417876</v>
      </c>
      <c r="N221" s="109">
        <f t="shared" si="107"/>
        <v>0.38954053531240662</v>
      </c>
      <c r="O221" s="109">
        <f t="shared" si="107"/>
        <v>0.35761150635329575</v>
      </c>
      <c r="P221" s="109">
        <f t="shared" si="107"/>
        <v>0.33041659447592836</v>
      </c>
      <c r="Q221" s="109">
        <f>Q117/Q116</f>
        <v>0.31103009633642437</v>
      </c>
      <c r="R221" s="109">
        <f t="shared" si="107"/>
        <v>0.31103009633642437</v>
      </c>
      <c r="S221" s="109">
        <f t="shared" si="107"/>
        <v>0.32474836764928983</v>
      </c>
      <c r="T221" s="109">
        <f t="shared" si="107"/>
        <v>0.32215114610820783</v>
      </c>
      <c r="U221" s="109">
        <f t="shared" si="107"/>
        <v>0.33648371484985434</v>
      </c>
      <c r="V221" s="109">
        <f t="shared" si="107"/>
        <v>0.36840629882086279</v>
      </c>
      <c r="W221" s="109">
        <f t="shared" si="107"/>
        <v>0.40305935779780611</v>
      </c>
      <c r="X221" s="109">
        <f t="shared" si="107"/>
        <v>0.45377317497517539</v>
      </c>
      <c r="Y221" s="110">
        <f t="shared" si="89"/>
        <v>0.34765749907981303</v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</row>
    <row r="222" spans="1:42" s="6" customFormat="1" ht="17">
      <c r="A222"/>
      <c r="B222" s="105">
        <v>20</v>
      </c>
      <c r="C222" s="102" t="s">
        <v>28</v>
      </c>
      <c r="D222" s="103" t="s">
        <v>51</v>
      </c>
      <c r="E222" s="109">
        <f>E123/E122</f>
        <v>0.51749471055802021</v>
      </c>
      <c r="F222" s="109">
        <f t="shared" ref="F222:W222" si="108">F123/F122</f>
        <v>0.51749471055802021</v>
      </c>
      <c r="G222" s="109">
        <f t="shared" si="108"/>
        <v>0.51749471055802021</v>
      </c>
      <c r="H222" s="109">
        <f t="shared" si="108"/>
        <v>0.54380393515875114</v>
      </c>
      <c r="I222" s="109">
        <f t="shared" si="108"/>
        <v>0.53814596015946758</v>
      </c>
      <c r="J222" s="109">
        <f t="shared" si="108"/>
        <v>0.57877168987770511</v>
      </c>
      <c r="K222" s="109">
        <f t="shared" si="108"/>
        <v>0.61923165415909087</v>
      </c>
      <c r="L222" s="109">
        <f t="shared" si="108"/>
        <v>0.73351009158763081</v>
      </c>
      <c r="M222" s="109">
        <f t="shared" si="108"/>
        <v>1.0220174783791358</v>
      </c>
      <c r="N222" s="109">
        <f t="shared" si="108"/>
        <v>1.0175117532844793</v>
      </c>
      <c r="O222" s="109">
        <f>O123/O122</f>
        <v>1.0387118798122732</v>
      </c>
      <c r="P222" s="109">
        <f t="shared" si="108"/>
        <v>1.2052815690723104</v>
      </c>
      <c r="Q222" s="109">
        <f t="shared" si="108"/>
        <v>1.2275812899169229</v>
      </c>
      <c r="R222" s="109">
        <f t="shared" si="108"/>
        <v>1.2335489430036768</v>
      </c>
      <c r="S222" s="109">
        <f t="shared" si="108"/>
        <v>1.2801636573965187</v>
      </c>
      <c r="T222" s="109">
        <f t="shared" si="108"/>
        <v>1.2970763857582641</v>
      </c>
      <c r="U222" s="109">
        <f t="shared" si="108"/>
        <v>1.2990069319944459</v>
      </c>
      <c r="V222" s="109">
        <f t="shared" si="108"/>
        <v>1.3241976772920039</v>
      </c>
      <c r="W222" s="109">
        <f t="shared" si="108"/>
        <v>1.3782685163823329</v>
      </c>
      <c r="X222" s="109">
        <v>1.3782685163823329</v>
      </c>
      <c r="Y222" s="110">
        <f t="shared" si="89"/>
        <v>0.96337910306457031</v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</row>
    <row r="223" spans="1:42" s="6" customFormat="1" ht="17">
      <c r="A223"/>
      <c r="B223" s="105">
        <v>21</v>
      </c>
      <c r="C223" s="104" t="s">
        <v>29</v>
      </c>
      <c r="D223" s="103" t="s">
        <v>52</v>
      </c>
      <c r="E223" s="109">
        <f>E129/E128</f>
        <v>1.182635021490986</v>
      </c>
      <c r="F223" s="109">
        <f t="shared" ref="F223:X223" si="109">F129/F128</f>
        <v>1.182635021490986</v>
      </c>
      <c r="G223" s="109">
        <f t="shared" si="109"/>
        <v>1.1585351474377983</v>
      </c>
      <c r="H223" s="109">
        <f t="shared" si="109"/>
        <v>1.1440831904174271</v>
      </c>
      <c r="I223" s="109">
        <f t="shared" si="109"/>
        <v>1.1423742368663368</v>
      </c>
      <c r="J223" s="109">
        <f t="shared" si="109"/>
        <v>1.1872091958258648</v>
      </c>
      <c r="K223" s="109">
        <f t="shared" si="109"/>
        <v>1.1949484178251111</v>
      </c>
      <c r="L223" s="109">
        <f t="shared" si="109"/>
        <v>1.2139496583651526</v>
      </c>
      <c r="M223" s="109">
        <f t="shared" si="109"/>
        <v>1.2158126574127974</v>
      </c>
      <c r="N223" s="109">
        <f t="shared" si="109"/>
        <v>1.2198575563317329</v>
      </c>
      <c r="O223" s="109">
        <f>O129/O128</f>
        <v>1.2255607211372559</v>
      </c>
      <c r="P223" s="109">
        <f t="shared" si="109"/>
        <v>1.2285135903413176</v>
      </c>
      <c r="Q223" s="109">
        <f t="shared" si="109"/>
        <v>1.225147861892284</v>
      </c>
      <c r="R223" s="109">
        <f t="shared" si="109"/>
        <v>1.2273096759963305</v>
      </c>
      <c r="S223" s="109">
        <f t="shared" si="109"/>
        <v>1.2290513091212125</v>
      </c>
      <c r="T223" s="109">
        <f t="shared" si="109"/>
        <v>1.2133811948913973</v>
      </c>
      <c r="U223" s="109">
        <f t="shared" si="109"/>
        <v>1.1925350469654836</v>
      </c>
      <c r="V223" s="109">
        <f t="shared" si="109"/>
        <v>1.1878202230641335</v>
      </c>
      <c r="W223" s="109">
        <f t="shared" si="109"/>
        <v>1.1826831323534677</v>
      </c>
      <c r="X223" s="109">
        <f t="shared" si="109"/>
        <v>1.1611545804466297</v>
      </c>
      <c r="Y223" s="110">
        <f t="shared" si="89"/>
        <v>1.1957598719836855</v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</row>
    <row r="224" spans="1:42" s="6" customFormat="1" ht="17">
      <c r="A224"/>
      <c r="B224" s="105">
        <v>22</v>
      </c>
      <c r="C224" s="104" t="s">
        <v>30</v>
      </c>
      <c r="D224" s="103" t="s">
        <v>53</v>
      </c>
      <c r="E224" s="109">
        <f>E135/E134</f>
        <v>0.8352179246668362</v>
      </c>
      <c r="F224" s="109">
        <f>F135/F134</f>
        <v>0.84677098622149938</v>
      </c>
      <c r="G224" s="109">
        <f>G135/G134</f>
        <v>0.85600717671116044</v>
      </c>
      <c r="H224" s="109">
        <f>H135/H134</f>
        <v>0.86492058962640572</v>
      </c>
      <c r="I224" s="109">
        <f t="shared" ref="I224:X224" si="110">I135/I134</f>
        <v>0.88011443832901071</v>
      </c>
      <c r="J224" s="109">
        <f t="shared" si="110"/>
        <v>0.87362576256871083</v>
      </c>
      <c r="K224" s="109">
        <f t="shared" si="110"/>
        <v>0.85193996951029138</v>
      </c>
      <c r="L224" s="109">
        <f t="shared" si="110"/>
        <v>0.84753019178558686</v>
      </c>
      <c r="M224" s="109">
        <f t="shared" si="110"/>
        <v>0.84785327238262342</v>
      </c>
      <c r="N224" s="109">
        <f t="shared" si="110"/>
        <v>0.84448431709208416</v>
      </c>
      <c r="O224" s="109">
        <f>O135/O134</f>
        <v>0.8426292601394465</v>
      </c>
      <c r="P224" s="109">
        <f t="shared" si="110"/>
        <v>0.84584032617915983</v>
      </c>
      <c r="Q224" s="109">
        <f t="shared" si="110"/>
        <v>0.84201712911540194</v>
      </c>
      <c r="R224" s="109">
        <f t="shared" si="110"/>
        <v>0.8427046913952484</v>
      </c>
      <c r="S224" s="109">
        <f t="shared" si="110"/>
        <v>0.83758681371482768</v>
      </c>
      <c r="T224" s="109">
        <f t="shared" si="110"/>
        <v>0.83575490744990777</v>
      </c>
      <c r="U224" s="109">
        <f t="shared" si="110"/>
        <v>0.83533009029413385</v>
      </c>
      <c r="V224" s="109">
        <f t="shared" si="110"/>
        <v>0.83562595171398113</v>
      </c>
      <c r="W224" s="109">
        <f t="shared" si="110"/>
        <v>0.84196755611033258</v>
      </c>
      <c r="X224" s="109">
        <f t="shared" si="110"/>
        <v>0.83498676507575331</v>
      </c>
      <c r="Y224" s="110">
        <f t="shared" si="89"/>
        <v>0.84714540600412003</v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</row>
    <row r="225" spans="1:42" s="6" customFormat="1" ht="17">
      <c r="A225"/>
      <c r="B225" s="105">
        <v>23</v>
      </c>
      <c r="C225" s="104" t="s">
        <v>31</v>
      </c>
      <c r="D225" s="103" t="s">
        <v>54</v>
      </c>
      <c r="E225" s="109">
        <f>E141/E140</f>
        <v>0.72354749421070652</v>
      </c>
      <c r="F225" s="109">
        <f>F141/F140</f>
        <v>0.71628363034746079</v>
      </c>
      <c r="G225" s="109">
        <f>G141/G140</f>
        <v>0.72404814548892849</v>
      </c>
      <c r="H225" s="109">
        <f>H141/H140</f>
        <v>0.72404814548892849</v>
      </c>
      <c r="I225" s="109">
        <f t="shared" ref="I225:X225" si="111">I141/I140</f>
        <v>0.72438317023822441</v>
      </c>
      <c r="J225" s="109">
        <f t="shared" si="111"/>
        <v>0.71663907345495192</v>
      </c>
      <c r="K225" s="109">
        <f t="shared" si="111"/>
        <v>0.7083287009121747</v>
      </c>
      <c r="L225" s="109">
        <f t="shared" si="111"/>
        <v>0.72164975534286491</v>
      </c>
      <c r="M225" s="109">
        <f t="shared" si="111"/>
        <v>0.71168087374310529</v>
      </c>
      <c r="N225" s="109">
        <f t="shared" si="111"/>
        <v>0.70710705176214439</v>
      </c>
      <c r="O225" s="109">
        <f t="shared" si="111"/>
        <v>0.63010363185982154</v>
      </c>
      <c r="P225" s="109">
        <f>P141/P140</f>
        <v>0.70730709868689157</v>
      </c>
      <c r="Q225" s="109">
        <f t="shared" si="111"/>
        <v>0.65519123998138284</v>
      </c>
      <c r="R225" s="109">
        <f t="shared" si="111"/>
        <v>0.6478342655933762</v>
      </c>
      <c r="S225" s="109">
        <f t="shared" si="111"/>
        <v>0.65824833718417508</v>
      </c>
      <c r="T225" s="109">
        <f t="shared" si="111"/>
        <v>0.66005658537549017</v>
      </c>
      <c r="U225" s="109">
        <f t="shared" si="111"/>
        <v>0.65652064352403949</v>
      </c>
      <c r="V225" s="109">
        <f t="shared" si="111"/>
        <v>0.66177654707648614</v>
      </c>
      <c r="W225" s="109">
        <f t="shared" si="111"/>
        <v>0.63360973125541487</v>
      </c>
      <c r="X225" s="109">
        <f t="shared" si="111"/>
        <v>0.64523608606241312</v>
      </c>
      <c r="Y225" s="110">
        <f t="shared" si="89"/>
        <v>0.68668001037944892</v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</row>
    <row r="226" spans="1:42" s="6" customFormat="1">
      <c r="A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</row>
    <row r="227" spans="1:42" s="6" customFormat="1">
      <c r="A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</row>
    <row r="228" spans="1:42" s="6" customFormat="1">
      <c r="A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</row>
    <row r="229" spans="1:42" s="6" customFormat="1">
      <c r="A229"/>
      <c r="B229" s="6">
        <v>1</v>
      </c>
      <c r="C229" s="6" t="s">
        <v>81</v>
      </c>
      <c r="D229" s="6" t="s">
        <v>62</v>
      </c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</row>
    <row r="230" spans="1:42" s="6" customFormat="1" ht="23">
      <c r="A230"/>
      <c r="C230" s="6" t="s">
        <v>82</v>
      </c>
      <c r="D230" s="11" t="s">
        <v>61</v>
      </c>
      <c r="E230" s="12" t="s">
        <v>63</v>
      </c>
      <c r="G230" s="18" t="s">
        <v>77</v>
      </c>
      <c r="H230" s="113">
        <v>45383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</row>
    <row r="231" spans="1:42" s="6" customFormat="1" ht="30">
      <c r="A231"/>
      <c r="B231" s="6">
        <v>2</v>
      </c>
      <c r="C231" s="6" t="s">
        <v>83</v>
      </c>
      <c r="D231" s="13" t="s">
        <v>64</v>
      </c>
      <c r="E231" s="12" t="s">
        <v>65</v>
      </c>
      <c r="G231" s="6" t="s">
        <v>79</v>
      </c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</row>
    <row r="232" spans="1:42" s="6" customFormat="1" ht="23">
      <c r="A232"/>
      <c r="D232" s="11" t="s">
        <v>66</v>
      </c>
      <c r="E232" s="14">
        <v>45017</v>
      </c>
      <c r="G232" s="6" t="s">
        <v>80</v>
      </c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</row>
    <row r="233" spans="1:42" s="6" customFormat="1" ht="30">
      <c r="A233"/>
      <c r="D233" s="13" t="s">
        <v>67</v>
      </c>
      <c r="E233" s="12" t="s">
        <v>68</v>
      </c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</row>
    <row r="234" spans="1:42" s="6" customFormat="1" ht="23">
      <c r="A234"/>
      <c r="D234" s="11" t="s">
        <v>69</v>
      </c>
      <c r="E234" s="12" t="s">
        <v>70</v>
      </c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</row>
    <row r="235" spans="1:42" s="6" customFormat="1" ht="30">
      <c r="A235"/>
      <c r="D235" s="13" t="s">
        <v>71</v>
      </c>
      <c r="E235" s="12" t="s">
        <v>72</v>
      </c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</row>
    <row r="236" spans="1:42" s="6" customFormat="1" ht="20">
      <c r="A236"/>
      <c r="D236" s="16" t="s">
        <v>75</v>
      </c>
      <c r="E236" s="6" t="s">
        <v>76</v>
      </c>
      <c r="H236" s="27"/>
      <c r="L236" s="27"/>
      <c r="P236" s="27"/>
      <c r="T236" s="27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</row>
    <row r="237" spans="1:42" s="6" customFormat="1">
      <c r="A237"/>
      <c r="D237"/>
      <c r="H237" s="27"/>
      <c r="L237" s="27"/>
      <c r="P237" s="27"/>
      <c r="T237" s="2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</row>
    <row r="238" spans="1:42" s="6" customFormat="1">
      <c r="A238"/>
      <c r="D238" s="17"/>
      <c r="H238" s="27"/>
      <c r="L238" s="27"/>
      <c r="P238" s="27"/>
      <c r="T238" s="27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</row>
    <row r="239" spans="1:42" s="6" customFormat="1" ht="20">
      <c r="A239"/>
      <c r="D239" s="16"/>
      <c r="H239" s="27"/>
      <c r="L239" s="27"/>
      <c r="P239" s="27"/>
      <c r="T239" s="27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</row>
    <row r="240" spans="1:42" s="6" customFormat="1" ht="20">
      <c r="A240"/>
      <c r="D240" s="16"/>
      <c r="H240" s="27"/>
      <c r="L240" s="27"/>
      <c r="P240" s="27"/>
      <c r="T240" s="27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</row>
    <row r="241" spans="1:42" s="6" customFormat="1">
      <c r="A241"/>
      <c r="C241" s="6" t="s">
        <v>87</v>
      </c>
      <c r="D241" s="15" t="s">
        <v>86</v>
      </c>
      <c r="H241" s="27"/>
      <c r="L241" s="27"/>
      <c r="P241" s="27"/>
      <c r="T241" s="27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</row>
    <row r="242" spans="1:42" s="6" customFormat="1">
      <c r="A242"/>
      <c r="H242" s="27"/>
      <c r="L242" s="27"/>
      <c r="P242" s="27"/>
      <c r="T242" s="27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</row>
    <row r="243" spans="1:42" s="6" customFormat="1">
      <c r="A243"/>
      <c r="D243" s="15" t="s">
        <v>78</v>
      </c>
      <c r="H243" s="27"/>
      <c r="L243" s="27"/>
      <c r="P243" s="27"/>
      <c r="T243" s="27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</row>
    <row r="244" spans="1:42" s="6" customFormat="1">
      <c r="A244"/>
      <c r="D244" s="15" t="s">
        <v>73</v>
      </c>
      <c r="H244" s="27"/>
      <c r="L244" s="27"/>
      <c r="P244" s="27"/>
      <c r="T244" s="27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</row>
    <row r="245" spans="1:42" s="6" customFormat="1">
      <c r="A245"/>
      <c r="H245" s="27"/>
      <c r="L245" s="27"/>
      <c r="P245" s="27"/>
      <c r="T245" s="27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</row>
    <row r="246" spans="1:42" s="6" customFormat="1">
      <c r="A246"/>
      <c r="D246" s="15" t="s">
        <v>74</v>
      </c>
      <c r="H246" s="27"/>
      <c r="L246" s="27"/>
      <c r="P246" s="27"/>
      <c r="T246" s="27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</row>
    <row r="247" spans="1:42" s="6" customFormat="1">
      <c r="A247"/>
      <c r="H247" s="27"/>
      <c r="L247" s="27"/>
      <c r="P247" s="27"/>
      <c r="T247" s="2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</row>
    <row r="248" spans="1:42">
      <c r="D248" s="17" t="s">
        <v>84</v>
      </c>
      <c r="F248" t="s">
        <v>85</v>
      </c>
    </row>
    <row r="253" spans="1:42">
      <c r="C253" t="s">
        <v>88</v>
      </c>
      <c r="D253" t="s">
        <v>89</v>
      </c>
    </row>
    <row r="254" spans="1:42">
      <c r="D254" t="s">
        <v>90</v>
      </c>
    </row>
  </sheetData>
  <dataConsolidate/>
  <mergeCells count="35">
    <mergeCell ref="E144:H144"/>
    <mergeCell ref="I144:L144"/>
    <mergeCell ref="M144:P144"/>
    <mergeCell ref="Q144:T144"/>
    <mergeCell ref="U144:X144"/>
    <mergeCell ref="E201:H201"/>
    <mergeCell ref="I201:L201"/>
    <mergeCell ref="M201:P201"/>
    <mergeCell ref="Q201:T201"/>
    <mergeCell ref="U201:X201"/>
    <mergeCell ref="E173:H173"/>
    <mergeCell ref="I173:L173"/>
    <mergeCell ref="M173:P173"/>
    <mergeCell ref="Q173:T173"/>
    <mergeCell ref="U173:X173"/>
    <mergeCell ref="E172:H172"/>
    <mergeCell ref="I172:L172"/>
    <mergeCell ref="M172:P172"/>
    <mergeCell ref="Q172:T172"/>
    <mergeCell ref="U172:X172"/>
    <mergeCell ref="E143:H143"/>
    <mergeCell ref="I143:L143"/>
    <mergeCell ref="M143:P143"/>
    <mergeCell ref="Q143:T143"/>
    <mergeCell ref="U143:X143"/>
    <mergeCell ref="U2:X2"/>
    <mergeCell ref="Q2:T2"/>
    <mergeCell ref="M2:P2"/>
    <mergeCell ref="I2:L2"/>
    <mergeCell ref="E2:H2"/>
    <mergeCell ref="E200:H200"/>
    <mergeCell ref="I200:L200"/>
    <mergeCell ref="M200:P200"/>
    <mergeCell ref="Q200:T200"/>
    <mergeCell ref="U200:X200"/>
  </mergeCells>
  <hyperlinks>
    <hyperlink ref="D246" r:id="rId1" xr:uid="{50953F9B-3FC3-D24C-8C39-F587C0145AEF}"/>
    <hyperlink ref="D244" r:id="rId2" xr:uid="{C3D79255-827A-2744-AA87-6C542077ABAC}"/>
    <hyperlink ref="D243" r:id="rId3" xr:uid="{EC9CC4BA-9759-FC4D-8C3B-09C35779D5F2}"/>
    <hyperlink ref="D248" r:id="rId4" xr:uid="{BD56B285-8B68-464C-B38C-C7DC8C7AD0C7}"/>
    <hyperlink ref="D241" r:id="rId5" xr:uid="{718737EF-5C0D-DD47-9DCE-3BFC99CD31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Testing</vt:lpstr>
      <vt:lpstr>Data Training</vt:lpstr>
      <vt:lpstr>Distress</vt:lpstr>
      <vt:lpstr>Sheet1</vt:lpstr>
      <vt:lpstr>Data Training ss</vt:lpstr>
      <vt:lpstr>Data Testing 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 Sinta Dewi</dc:creator>
  <cp:lastModifiedBy>Sinta Dewi</cp:lastModifiedBy>
  <dcterms:created xsi:type="dcterms:W3CDTF">2024-05-05T13:07:16Z</dcterms:created>
  <dcterms:modified xsi:type="dcterms:W3CDTF">2024-08-04T02:02:59Z</dcterms:modified>
</cp:coreProperties>
</file>
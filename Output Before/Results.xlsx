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8_{5B8EE4C7-AD2E-410E-BE79-C74166E5DEC1}" xr6:coauthVersionLast="47" xr6:coauthVersionMax="47" xr10:uidLastSave="{00000000-0000-0000-0000-000000000000}"/>
  <bookViews>
    <workbookView xWindow="-110" yWindow="-110" windowWidth="19420" windowHeight="10300" activeTab="3" xr2:uid="{2F3618E3-236A-4C42-B75C-9D824D94A95B}"/>
  </bookViews>
  <sheets>
    <sheet name="Output 1" sheetId="3" r:id="rId1"/>
    <sheet name="Output 2" sheetId="2" r:id="rId2"/>
    <sheet name="Output 3" sheetId="1" r:id="rId3"/>
    <sheet name="Output 4" sheetId="4" r:id="rId4"/>
  </sheets>
  <definedNames>
    <definedName name="_Hlk173187818" localSheetId="2">'Output 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4" l="1"/>
  <c r="E23" i="4"/>
  <c r="E24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<sst xmlns="http://schemas.openxmlformats.org/spreadsheetml/2006/main" count="205" uniqueCount="158">
  <si>
    <t>No.</t>
  </si>
  <si>
    <t>Nama Perusahaan</t>
  </si>
  <si>
    <t>Kode Saham</t>
  </si>
  <si>
    <t>Output</t>
  </si>
  <si>
    <t>Prediksi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</si>
  <si>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</si>
  <si>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</si>
  <si>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</si>
  <si>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</si>
  <si>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</si>
  <si>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</si>
  <si>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</si>
  <si>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</si>
  <si>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</si>
  <si>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</si>
  <si>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</si>
  <si>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</si>
  <si>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</si>
  <si>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</si>
  <si>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</si>
  <si>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</si>
  <si>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</si>
  <si>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</si>
  <si>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</si>
  <si>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</si>
  <si>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r>
      <t xml:space="preserve">Total </t>
    </r>
    <r>
      <rPr>
        <b/>
        <i/>
        <sz val="10"/>
        <color theme="1"/>
        <rFont val="Times New Roman"/>
        <family val="1"/>
      </rPr>
      <t>Neuron</t>
    </r>
  </si>
  <si>
    <r>
      <t xml:space="preserve">Nilai </t>
    </r>
    <r>
      <rPr>
        <b/>
        <i/>
        <sz val="10"/>
        <color theme="1"/>
        <rFont val="Times New Roman"/>
        <family val="1"/>
      </rPr>
      <t xml:space="preserve">error </t>
    </r>
    <r>
      <rPr>
        <b/>
        <sz val="10"/>
        <color theme="1"/>
        <rFont val="Times New Roman"/>
        <family val="1"/>
      </rPr>
      <t>(MSE)</t>
    </r>
  </si>
  <si>
    <t>Input Layer</t>
  </si>
  <si>
    <t>Hidden Layer</t>
  </si>
  <si>
    <t>Fungsi Pelatihan</t>
  </si>
  <si>
    <t>Fungsi Aktivasi</t>
  </si>
  <si>
    <r>
      <t xml:space="preserve">Total </t>
    </r>
    <r>
      <rPr>
        <b/>
        <i/>
        <sz val="10"/>
        <color theme="1"/>
        <rFont val="Times New Roman"/>
        <family val="1"/>
      </rPr>
      <t xml:space="preserve">Neuron </t>
    </r>
    <r>
      <rPr>
        <b/>
        <sz val="10"/>
        <color theme="1"/>
        <rFont val="Times New Roman"/>
        <family val="1"/>
      </rPr>
      <t xml:space="preserve">pada </t>
    </r>
    <r>
      <rPr>
        <b/>
        <i/>
        <sz val="10"/>
        <color theme="1"/>
        <rFont val="Times New Roman"/>
        <family val="1"/>
      </rPr>
      <t>Hidden Layer</t>
    </r>
  </si>
  <si>
    <t>MSE</t>
  </si>
  <si>
    <t>R(%)</t>
  </si>
  <si>
    <t>Output Layer</t>
  </si>
  <si>
    <t>TRAINGDX</t>
  </si>
  <si>
    <t>LOGSIG</t>
  </si>
  <si>
    <t>TANSIG</t>
  </si>
  <si>
    <t>Perusahaan</t>
  </si>
  <si>
    <t>Kode Emitem</t>
  </si>
  <si>
    <t>Target</t>
  </si>
  <si>
    <t>Error</t>
  </si>
  <si>
    <t>CINT</t>
  </si>
  <si>
    <t>Ekadharma International Tbk</t>
  </si>
  <si>
    <t>EKAD</t>
  </si>
  <si>
    <t>21.</t>
  </si>
  <si>
    <t>22.</t>
  </si>
  <si>
    <t>23.</t>
  </si>
  <si>
    <t>24.</t>
  </si>
  <si>
    <t>25.</t>
  </si>
  <si>
    <t>SIDO</t>
  </si>
  <si>
    <t>26.</t>
  </si>
  <si>
    <t>27.</t>
  </si>
  <si>
    <t>28.</t>
  </si>
  <si>
    <t>29.</t>
  </si>
  <si>
    <t>30.</t>
  </si>
  <si>
    <t>BRRS</t>
  </si>
  <si>
    <t>STTP</t>
  </si>
  <si>
    <t>ADES</t>
  </si>
  <si>
    <t>SMSM</t>
  </si>
  <si>
    <t>ANTM</t>
  </si>
  <si>
    <t>ITMG</t>
  </si>
  <si>
    <t>PTBA</t>
  </si>
  <si>
    <t>KLBF</t>
  </si>
  <si>
    <t>PWON</t>
  </si>
  <si>
    <t>SCMA</t>
  </si>
  <si>
    <t>UNTR</t>
  </si>
  <si>
    <t>INCO</t>
  </si>
  <si>
    <t>BOSS</t>
  </si>
  <si>
    <t>ETWA</t>
  </si>
  <si>
    <t>COWL</t>
  </si>
  <si>
    <t>EBIT</t>
  </si>
  <si>
    <t>KRAH</t>
  </si>
  <si>
    <t>PRAS</t>
  </si>
  <si>
    <t>BTEL</t>
  </si>
  <si>
    <t>BUMI</t>
  </si>
  <si>
    <t>MDLN</t>
  </si>
  <si>
    <t>AISA</t>
  </si>
  <si>
    <t>ISAT</t>
  </si>
  <si>
    <t>KRAS</t>
  </si>
  <si>
    <t>UNSP</t>
  </si>
  <si>
    <t>MLPL</t>
  </si>
  <si>
    <t>VIVA</t>
  </si>
  <si>
    <t xml:space="preserve">Siantar Top Tbk </t>
  </si>
  <si>
    <t>Akasha Wira International Tbk</t>
  </si>
  <si>
    <t>Aneka Tambang Tbk.</t>
  </si>
  <si>
    <t xml:space="preserve">Indo Tambangraya Megah Tbk </t>
  </si>
  <si>
    <t xml:space="preserve">Tambang Batubara Bukit Asam Tbk </t>
  </si>
  <si>
    <t>Kalbe Farma Tbk</t>
  </si>
  <si>
    <t>Pakuwon Jati Tbk</t>
  </si>
  <si>
    <t>Surya Citra Media Tbk</t>
  </si>
  <si>
    <t>United Tractors Tbk</t>
  </si>
  <si>
    <t>Vale Indonesia Tbk</t>
  </si>
  <si>
    <t xml:space="preserve">PT Chitose Internasional Tbk </t>
  </si>
  <si>
    <t xml:space="preserve">PT Borneo Olah Sarana Sukses Tbk </t>
  </si>
  <si>
    <t>PT Cowel Development Tbk</t>
  </si>
  <si>
    <t>Ebit</t>
  </si>
  <si>
    <t>PT Grand Kartech Tbk</t>
  </si>
  <si>
    <t>Prima Alloy Steel Universal</t>
  </si>
  <si>
    <t>Bumi Resources Tbk</t>
  </si>
  <si>
    <t>Modernland Realty Ltd Tbk</t>
  </si>
  <si>
    <t>FKS Food Sejahtera Tbk PT</t>
  </si>
  <si>
    <t>Indosat Tbk</t>
  </si>
  <si>
    <t>Krakatau Steel Persero Tbk</t>
  </si>
  <si>
    <t>Bakrie Sumatera Plantations</t>
  </si>
  <si>
    <t>Multipolar Tbk</t>
  </si>
  <si>
    <t>Visi Media Asia Tbk</t>
  </si>
  <si>
    <t>Baramulti Suksessarana TBK</t>
  </si>
  <si>
    <t>Industri Jamu &amp; Farmasi Sido Muncul</t>
  </si>
  <si>
    <t>PT Selamat Sempurna Tbk</t>
  </si>
  <si>
    <t>PT Eterindo Wahanatama</t>
  </si>
  <si>
    <t>Express Inc</t>
  </si>
  <si>
    <t>PT Berlian Laju Tanker Tbk </t>
  </si>
  <si>
    <t>PT Pelayaran Nelly Dwi Putri Tbk.  </t>
  </si>
  <si>
    <t>PT Mineral Sumberdaya Mandiri Tbk.  </t>
  </si>
  <si>
    <t>PT Blue Bird Tbk. </t>
  </si>
  <si>
    <t>PT AirAsia Indonesia Tbk.  </t>
  </si>
  <si>
    <t>PT Garuda Indonesia (Persero) Tbk. </t>
  </si>
  <si>
    <t>PT Eka Sari Lorena Transport Tbk. </t>
  </si>
  <si>
    <t>PT Mitra International Resources Tbk.  </t>
  </si>
  <si>
    <t>PT Mitra Investindo Tbk. </t>
  </si>
  <si>
    <t>PT Sidomulyo Selaras Tbk.  </t>
  </si>
  <si>
    <t>PT Samudera Indonesia  Tbk. </t>
  </si>
  <si>
    <t>PT Express Transindo Utama Tbk. </t>
  </si>
  <si>
    <t>PT Temas Tbk. </t>
  </si>
  <si>
    <t>PT WEHA Transportasi Indonesia Tbk.  </t>
  </si>
  <si>
    <t>PT Jaya Trishindo Tbk.  </t>
  </si>
  <si>
    <t>PT Guna Timur Raya Tbk.  </t>
  </si>
  <si>
    <t>PT Trimuda Nuansa Citra Tbk.  </t>
  </si>
  <si>
    <t>PT Batavia Prosperindo Trans Tbk.  </t>
  </si>
  <si>
    <t>PT Satria Antaran Prima Tbk.   </t>
  </si>
  <si>
    <t>PT Dewata Freightinternational Tbk. </t>
  </si>
  <si>
    <t>PT Steady Safe Tbk. </t>
  </si>
  <si>
    <t>PT Indomobil Multi Jasa Tbk.  </t>
  </si>
  <si>
    <t>PT Adi Sarana Armada Tbk. </t>
  </si>
  <si>
    <t>BLTA </t>
  </si>
  <si>
    <t>NELY </t>
  </si>
  <si>
    <t>AKSI </t>
  </si>
  <si>
    <t>BIRD </t>
  </si>
  <si>
    <t>CMPP </t>
  </si>
  <si>
    <t>GIAA </t>
  </si>
  <si>
    <t>LRNA </t>
  </si>
  <si>
    <t>MIRA </t>
  </si>
  <si>
    <t>MITI </t>
  </si>
  <si>
    <t>SDMU </t>
  </si>
  <si>
    <t>SMDR </t>
  </si>
  <si>
    <t>TAXI </t>
  </si>
  <si>
    <t>TMAS </t>
  </si>
  <si>
    <t>WEHA </t>
  </si>
  <si>
    <t>HELI </t>
  </si>
  <si>
    <t>TRUK </t>
  </si>
  <si>
    <t>TNCA </t>
  </si>
  <si>
    <t>BPTR </t>
  </si>
  <si>
    <t>SAPX </t>
  </si>
  <si>
    <t>DEAL </t>
  </si>
  <si>
    <t>SAFE </t>
  </si>
  <si>
    <t>IMJS </t>
  </si>
  <si>
    <t>ASSA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</si>
</sst>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0000_);[Red]\(#,##0.000000\)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0" fontId="4" fillId="0" borderId="1" xfId="0" applyNumberFormat="1" applyFont="1" applyBorder="1"/>
    <xf numFmtId="10" fontId="6" fillId="0" borderId="1" xfId="0" applyNumberFormat="1" applyFont="1" applyBorder="1"/>
    <xf numFmtId="169" fontId="4" fillId="0" borderId="1" xfId="0" applyNumberFormat="1" applyFont="1" applyBorder="1" applyAlignment="1">
      <alignment horizontal="left" vertical="center" wrapText="1"/>
    </xf>
    <xf numFmtId="169" fontId="4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E4BB-66C1-4482-96C0-BD55B543E8CD}">
  <dimension ref="A1:C11"/>
  <sheetViews>
    <sheetView workbookViewId="0">
      <selection activeCell="C3" sqref="C3:C11"/>
    </sheetView>
  </sheetViews>
  <sheetFormatPr defaultRowHeight="14.5" x14ac:dyDescent="0.35"/>
  <sheetData>
    <row r="1" spans="1:3" x14ac:dyDescent="0.35">
      <c r="A1" s="17" t="s">
        <v>25</v>
      </c>
      <c r="B1" s="17"/>
      <c r="C1" s="17" t="s">
        <v>26</v>
      </c>
    </row>
    <row r="2" spans="1:3" ht="27" x14ac:dyDescent="0.35">
      <c r="A2" s="13" t="s">
        <v>27</v>
      </c>
      <c r="B2" s="13" t="s">
        <v>28</v>
      </c>
      <c r="C2" s="17"/>
    </row>
    <row r="3" spans="1:3" x14ac:dyDescent="0.35">
      <c r="A3" s="15">
        <v>15</v>
      </c>
      <c r="B3" s="15">
        <v>1</v>
      </c>
      <c r="C3" s="16">
        <v>0.16374104625358948</v>
      </c>
    </row>
    <row r="4" spans="1:3" x14ac:dyDescent="0.35">
      <c r="A4" s="15">
        <v>15</v>
      </c>
      <c r="B4" s="15">
        <v>5</v>
      </c>
      <c r="C4" s="16">
        <v>0.13190493076046939</v>
      </c>
    </row>
    <row r="5" spans="1:3" x14ac:dyDescent="0.35">
      <c r="A5" s="15">
        <v>15</v>
      </c>
      <c r="B5" s="15">
        <v>10</v>
      </c>
      <c r="C5" s="16">
        <v>0.13655889049135636</v>
      </c>
    </row>
    <row r="6" spans="1:3" x14ac:dyDescent="0.35">
      <c r="A6" s="18">
        <v>15</v>
      </c>
      <c r="B6" s="18">
        <v>15</v>
      </c>
      <c r="C6" s="19">
        <v>0.12500427028408839</v>
      </c>
    </row>
    <row r="7" spans="1:3" x14ac:dyDescent="0.35">
      <c r="A7" s="15">
        <v>15</v>
      </c>
      <c r="B7" s="15">
        <v>20</v>
      </c>
      <c r="C7" s="16">
        <v>0.12511838201759085</v>
      </c>
    </row>
    <row r="8" spans="1:3" x14ac:dyDescent="0.35">
      <c r="A8" s="15">
        <v>15</v>
      </c>
      <c r="B8" s="15">
        <v>30</v>
      </c>
      <c r="C8" s="16">
        <v>0.12695487349605131</v>
      </c>
    </row>
    <row r="9" spans="1:3" x14ac:dyDescent="0.35">
      <c r="A9" s="15">
        <v>15</v>
      </c>
      <c r="B9" s="15">
        <v>40</v>
      </c>
      <c r="C9" s="16">
        <v>0.12752768297402234</v>
      </c>
    </row>
    <row r="10" spans="1:3" x14ac:dyDescent="0.35">
      <c r="A10" s="15">
        <v>15</v>
      </c>
      <c r="B10" s="15">
        <v>50</v>
      </c>
      <c r="C10" s="16">
        <v>0.13347125461714898</v>
      </c>
    </row>
    <row r="11" spans="1:3" x14ac:dyDescent="0.35">
      <c r="A11" s="15">
        <v>15</v>
      </c>
      <c r="B11" s="15">
        <v>60</v>
      </c>
      <c r="C11" s="16">
        <v>0.12507206464525716</v>
      </c>
    </row>
  </sheetData>
  <mergeCells count="2">
    <mergeCell ref="A1:B1"/>
    <mergeCell ref="C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100A-B932-4A9C-8815-BBBA28F138B8}">
  <dimension ref="A1:F11"/>
  <sheetViews>
    <sheetView workbookViewId="0">
      <selection activeCell="J7" sqref="J7"/>
    </sheetView>
  </sheetViews>
  <sheetFormatPr defaultRowHeight="14.5" x14ac:dyDescent="0.35"/>
  <cols>
    <col min="1" max="1" width="13.453125" style="1" bestFit="1" customWidth="1"/>
    <col min="2" max="2" width="11.7265625" style="1" bestFit="1" customWidth="1"/>
    <col min="3" max="3" width="11.36328125" style="1" bestFit="1" customWidth="1"/>
    <col min="4" max="4" width="27" style="1" bestFit="1" customWidth="1"/>
    <col min="5" max="5" width="6.7265625" style="1" bestFit="1" customWidth="1"/>
    <col min="6" max="6" width="7.54296875" style="1" bestFit="1" customWidth="1"/>
    <col min="7" max="16384" width="8.7265625" style="1"/>
  </cols>
  <sheetData>
    <row r="1" spans="1:6" ht="39" customHeight="1" x14ac:dyDescent="0.35">
      <c r="A1" s="2" t="s">
        <v>29</v>
      </c>
      <c r="B1" s="2" t="s">
        <v>30</v>
      </c>
      <c r="C1" s="2"/>
      <c r="D1" s="2" t="s">
        <v>31</v>
      </c>
      <c r="E1" s="2" t="s">
        <v>32</v>
      </c>
      <c r="F1" s="2" t="s">
        <v>33</v>
      </c>
    </row>
    <row r="2" spans="1:6" x14ac:dyDescent="0.35">
      <c r="A2" s="2"/>
      <c r="B2" s="3" t="s">
        <v>28</v>
      </c>
      <c r="C2" s="3" t="s">
        <v>34</v>
      </c>
      <c r="D2" s="2"/>
      <c r="E2" s="2"/>
      <c r="F2" s="2"/>
    </row>
    <row r="3" spans="1:6" x14ac:dyDescent="0.35">
      <c r="A3" s="4" t="s">
        <v>35</v>
      </c>
      <c r="B3" s="4" t="s">
        <v>36</v>
      </c>
      <c r="C3" s="4" t="s">
        <v>37</v>
      </c>
      <c r="D3" s="5">
        <v>1</v>
      </c>
      <c r="E3" s="16">
        <v>0.16374104625358948</v>
      </c>
      <c r="F3" s="8">
        <v>0.34503581498564206</v>
      </c>
    </row>
    <row r="4" spans="1:6" x14ac:dyDescent="0.35">
      <c r="A4" s="4" t="s">
        <v>35</v>
      </c>
      <c r="B4" s="4" t="s">
        <v>36</v>
      </c>
      <c r="C4" s="4" t="s">
        <v>37</v>
      </c>
      <c r="D4" s="5">
        <v>5</v>
      </c>
      <c r="E4" s="16">
        <v>0.13190493076046939</v>
      </c>
      <c r="F4" s="8">
        <v>0.47238027695812246</v>
      </c>
    </row>
    <row r="5" spans="1:6" x14ac:dyDescent="0.35">
      <c r="A5" s="4" t="s">
        <v>35</v>
      </c>
      <c r="B5" s="4" t="s">
        <v>36</v>
      </c>
      <c r="C5" s="4" t="s">
        <v>37</v>
      </c>
      <c r="D5" s="5">
        <v>10</v>
      </c>
      <c r="E5" s="16">
        <v>0.13655889049135636</v>
      </c>
      <c r="F5" s="8">
        <v>0.45376443803457456</v>
      </c>
    </row>
    <row r="6" spans="1:6" x14ac:dyDescent="0.35">
      <c r="A6" s="6" t="s">
        <v>35</v>
      </c>
      <c r="B6" s="6" t="s">
        <v>36</v>
      </c>
      <c r="C6" s="6" t="s">
        <v>37</v>
      </c>
      <c r="D6" s="7">
        <v>15</v>
      </c>
      <c r="E6" s="19">
        <v>0.12500427028408839</v>
      </c>
      <c r="F6" s="9">
        <v>0.49998291886364643</v>
      </c>
    </row>
    <row r="7" spans="1:6" x14ac:dyDescent="0.35">
      <c r="A7" s="4" t="s">
        <v>35</v>
      </c>
      <c r="B7" s="4" t="s">
        <v>36</v>
      </c>
      <c r="C7" s="4" t="s">
        <v>37</v>
      </c>
      <c r="D7" s="5">
        <v>20</v>
      </c>
      <c r="E7" s="16">
        <v>0.12511838201759085</v>
      </c>
      <c r="F7" s="8">
        <v>0.49952647192963662</v>
      </c>
    </row>
    <row r="8" spans="1:6" x14ac:dyDescent="0.35">
      <c r="A8" s="4" t="s">
        <v>35</v>
      </c>
      <c r="B8" s="4" t="s">
        <v>36</v>
      </c>
      <c r="C8" s="4" t="s">
        <v>37</v>
      </c>
      <c r="D8" s="5">
        <v>30</v>
      </c>
      <c r="E8" s="16">
        <v>0.12695487349605131</v>
      </c>
      <c r="F8" s="8">
        <v>0.49218050601579477</v>
      </c>
    </row>
    <row r="9" spans="1:6" x14ac:dyDescent="0.35">
      <c r="A9" s="4" t="s">
        <v>35</v>
      </c>
      <c r="B9" s="4" t="s">
        <v>36</v>
      </c>
      <c r="C9" s="4" t="s">
        <v>37</v>
      </c>
      <c r="D9" s="5">
        <v>40</v>
      </c>
      <c r="E9" s="16">
        <v>0.12752768297402234</v>
      </c>
      <c r="F9" s="8">
        <v>0.48988926810391065</v>
      </c>
    </row>
    <row r="10" spans="1:6" x14ac:dyDescent="0.35">
      <c r="A10" s="4" t="s">
        <v>35</v>
      </c>
      <c r="B10" s="4" t="s">
        <v>36</v>
      </c>
      <c r="C10" s="4" t="s">
        <v>37</v>
      </c>
      <c r="D10" s="5">
        <v>50</v>
      </c>
      <c r="E10" s="16">
        <v>0.13347125461714898</v>
      </c>
      <c r="F10" s="8">
        <v>0.46611498153140407</v>
      </c>
    </row>
    <row r="11" spans="1:6" x14ac:dyDescent="0.35">
      <c r="A11" s="4" t="s">
        <v>35</v>
      </c>
      <c r="B11" s="4" t="s">
        <v>36</v>
      </c>
      <c r="C11" s="4" t="s">
        <v>37</v>
      </c>
      <c r="D11" s="5">
        <v>60</v>
      </c>
      <c r="E11" s="16">
        <v>0.12507206464525716</v>
      </c>
      <c r="F11" s="8">
        <v>0.49971174141897134</v>
      </c>
    </row>
  </sheetData>
  <mergeCells count="5">
    <mergeCell ref="A1:A2"/>
    <mergeCell ref="B1:C1"/>
    <mergeCell ref="D1:D2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CDC-7AED-4525-B652-6120E8308B12}">
  <dimension ref="A1:F31"/>
  <sheetViews>
    <sheetView workbookViewId="0">
      <selection activeCell="I7" sqref="I7"/>
    </sheetView>
  </sheetViews>
  <sheetFormatPr defaultRowHeight="14.5" x14ac:dyDescent="0.35"/>
  <cols>
    <col min="1" max="1" width="3.453125" style="1" bestFit="1" customWidth="1"/>
    <col min="2" max="2" width="50" style="1" bestFit="1" customWidth="1"/>
    <col min="3" max="3" width="10.36328125" style="1" bestFit="1" customWidth="1"/>
    <col min="4" max="4" width="6.6328125" style="1" bestFit="1" customWidth="1"/>
    <col min="5" max="5" width="10.90625" style="1" bestFit="1" customWidth="1"/>
    <col min="6" max="6" width="11" style="1" bestFit="1" customWidth="1"/>
    <col min="7" max="16384" width="8.7265625" style="1"/>
  </cols>
  <sheetData>
    <row r="1" spans="1:6" ht="26" x14ac:dyDescent="0.35">
      <c r="A1" s="12" t="s">
        <v>0</v>
      </c>
      <c r="B1" s="12" t="s">
        <v>38</v>
      </c>
      <c r="C1" s="12" t="s">
        <v>39</v>
      </c>
      <c r="D1" s="12" t="s">
        <v>40</v>
      </c>
      <c r="E1" s="13" t="s">
        <v>3</v>
      </c>
      <c r="F1" s="13" t="s">
        <v>41</v>
      </c>
    </row>
    <row r="2" spans="1:6" x14ac:dyDescent="0.35">
      <c r="A2" s="14" t="s">
        <v>5</v>
      </c>
      <c r="B2" s="14" t="s">
        <v>107</v>
      </c>
      <c r="C2" s="10" t="s">
        <v>56</v>
      </c>
      <c r="D2" s="15">
        <v>0</v>
      </c>
      <c r="E2" s="16">
        <v>0.50000261609791397</v>
      </c>
      <c r="F2" s="15">
        <f>D2-E2</f>
        <v>-0.50000261609791397</v>
      </c>
    </row>
    <row r="3" spans="1:6" x14ac:dyDescent="0.35">
      <c r="A3" s="14" t="s">
        <v>6</v>
      </c>
      <c r="B3" s="14" t="s">
        <v>108</v>
      </c>
      <c r="C3" s="11" t="s">
        <v>50</v>
      </c>
      <c r="D3" s="15">
        <v>0</v>
      </c>
      <c r="E3" s="16">
        <v>0.50000068515696683</v>
      </c>
      <c r="F3" s="15">
        <f t="shared" ref="F3:F31" si="0">D3-E3</f>
        <v>-0.50000068515696683</v>
      </c>
    </row>
    <row r="4" spans="1:6" x14ac:dyDescent="0.35">
      <c r="A4" s="14" t="s">
        <v>7</v>
      </c>
      <c r="B4" s="14" t="s">
        <v>83</v>
      </c>
      <c r="C4" s="11" t="s">
        <v>57</v>
      </c>
      <c r="D4" s="15">
        <v>0</v>
      </c>
      <c r="E4" s="16">
        <v>0.50000042214669183</v>
      </c>
      <c r="F4" s="15">
        <f t="shared" si="0"/>
        <v>-0.50000042214669183</v>
      </c>
    </row>
    <row r="5" spans="1:6" x14ac:dyDescent="0.35">
      <c r="A5" s="14" t="s">
        <v>8</v>
      </c>
      <c r="B5" s="14" t="s">
        <v>84</v>
      </c>
      <c r="C5" s="11" t="s">
        <v>58</v>
      </c>
      <c r="D5" s="15">
        <v>0</v>
      </c>
      <c r="E5" s="16">
        <v>0.5000018550955343</v>
      </c>
      <c r="F5" s="15">
        <f t="shared" si="0"/>
        <v>-0.5000018550955343</v>
      </c>
    </row>
    <row r="6" spans="1:6" x14ac:dyDescent="0.35">
      <c r="A6" s="14" t="s">
        <v>9</v>
      </c>
      <c r="B6" s="14" t="s">
        <v>109</v>
      </c>
      <c r="C6" s="11" t="s">
        <v>59</v>
      </c>
      <c r="D6" s="15">
        <v>0</v>
      </c>
      <c r="E6" s="16">
        <v>0.50000042473605821</v>
      </c>
      <c r="F6" s="15">
        <f t="shared" si="0"/>
        <v>-0.50000042473605821</v>
      </c>
    </row>
    <row r="7" spans="1:6" x14ac:dyDescent="0.35">
      <c r="A7" s="14" t="s">
        <v>10</v>
      </c>
      <c r="B7" s="14" t="s">
        <v>85</v>
      </c>
      <c r="C7" s="11" t="s">
        <v>60</v>
      </c>
      <c r="D7" s="15">
        <v>0</v>
      </c>
      <c r="E7" s="16">
        <v>0.50000377745713698</v>
      </c>
      <c r="F7" s="15">
        <f t="shared" si="0"/>
        <v>-0.50000377745713698</v>
      </c>
    </row>
    <row r="8" spans="1:6" x14ac:dyDescent="0.35">
      <c r="A8" s="14" t="s">
        <v>11</v>
      </c>
      <c r="B8" s="14" t="s">
        <v>86</v>
      </c>
      <c r="C8" s="11" t="s">
        <v>61</v>
      </c>
      <c r="D8" s="15">
        <v>0</v>
      </c>
      <c r="E8" s="16">
        <v>0.50000178922375205</v>
      </c>
      <c r="F8" s="15">
        <f t="shared" si="0"/>
        <v>-0.50000178922375205</v>
      </c>
    </row>
    <row r="9" spans="1:6" x14ac:dyDescent="0.35">
      <c r="A9" s="14" t="s">
        <v>12</v>
      </c>
      <c r="B9" s="14" t="s">
        <v>87</v>
      </c>
      <c r="C9" s="11" t="s">
        <v>62</v>
      </c>
      <c r="D9" s="15">
        <v>0</v>
      </c>
      <c r="E9" s="16">
        <v>0.50000578413057828</v>
      </c>
      <c r="F9" s="15">
        <f t="shared" si="0"/>
        <v>-0.50000578413057828</v>
      </c>
    </row>
    <row r="10" spans="1:6" x14ac:dyDescent="0.35">
      <c r="A10" s="14" t="s">
        <v>13</v>
      </c>
      <c r="B10" s="14" t="s">
        <v>88</v>
      </c>
      <c r="C10" s="11" t="s">
        <v>63</v>
      </c>
      <c r="D10" s="15">
        <v>0</v>
      </c>
      <c r="E10" s="16">
        <v>0.50000046916915053</v>
      </c>
      <c r="F10" s="15">
        <f t="shared" si="0"/>
        <v>-0.50000046916915053</v>
      </c>
    </row>
    <row r="11" spans="1:6" x14ac:dyDescent="0.35">
      <c r="A11" s="14" t="s">
        <v>14</v>
      </c>
      <c r="B11" s="14" t="s">
        <v>89</v>
      </c>
      <c r="C11" s="10" t="s">
        <v>64</v>
      </c>
      <c r="D11" s="15">
        <v>0</v>
      </c>
      <c r="E11" s="16">
        <v>0.50000858797357817</v>
      </c>
      <c r="F11" s="15">
        <f t="shared" si="0"/>
        <v>-0.50000858797357817</v>
      </c>
    </row>
    <row r="12" spans="1:6" x14ac:dyDescent="0.35">
      <c r="A12" s="14" t="s">
        <v>15</v>
      </c>
      <c r="B12" s="14" t="s">
        <v>90</v>
      </c>
      <c r="C12" s="11" t="s">
        <v>65</v>
      </c>
      <c r="D12" s="15">
        <v>0</v>
      </c>
      <c r="E12" s="16">
        <v>0.5000007973175089</v>
      </c>
      <c r="F12" s="15">
        <f t="shared" si="0"/>
        <v>-0.5000007973175089</v>
      </c>
    </row>
    <row r="13" spans="1:6" x14ac:dyDescent="0.35">
      <c r="A13" s="14" t="s">
        <v>16</v>
      </c>
      <c r="B13" s="14" t="s">
        <v>91</v>
      </c>
      <c r="C13" s="11" t="s">
        <v>66</v>
      </c>
      <c r="D13" s="15">
        <v>0</v>
      </c>
      <c r="E13" s="16">
        <v>0.50005450324172096</v>
      </c>
      <c r="F13" s="15">
        <f t="shared" si="0"/>
        <v>-0.50005450324172096</v>
      </c>
    </row>
    <row r="14" spans="1:6" x14ac:dyDescent="0.35">
      <c r="A14" s="14" t="s">
        <v>17</v>
      </c>
      <c r="B14" s="14" t="s">
        <v>92</v>
      </c>
      <c r="C14" s="11" t="s">
        <v>67</v>
      </c>
      <c r="D14" s="15">
        <v>0</v>
      </c>
      <c r="E14" s="16">
        <v>0.50000044361784546</v>
      </c>
      <c r="F14" s="15">
        <f t="shared" si="0"/>
        <v>-0.50000044361784546</v>
      </c>
    </row>
    <row r="15" spans="1:6" x14ac:dyDescent="0.35">
      <c r="A15" s="14" t="s">
        <v>18</v>
      </c>
      <c r="B15" s="14" t="s">
        <v>93</v>
      </c>
      <c r="C15" s="11" t="s">
        <v>42</v>
      </c>
      <c r="D15" s="15">
        <v>0</v>
      </c>
      <c r="E15" s="16">
        <v>0.50000621561290626</v>
      </c>
      <c r="F15" s="15">
        <f t="shared" si="0"/>
        <v>-0.50000621561290626</v>
      </c>
    </row>
    <row r="16" spans="1:6" x14ac:dyDescent="0.35">
      <c r="A16" s="14" t="s">
        <v>19</v>
      </c>
      <c r="B16" s="14" t="s">
        <v>43</v>
      </c>
      <c r="C16" s="11" t="s">
        <v>44</v>
      </c>
      <c r="D16" s="15">
        <v>0</v>
      </c>
      <c r="E16" s="16">
        <v>0.50000026652772278</v>
      </c>
      <c r="F16" s="15">
        <f t="shared" si="0"/>
        <v>-0.50000026652772278</v>
      </c>
    </row>
    <row r="17" spans="1:6" x14ac:dyDescent="0.35">
      <c r="A17" s="14" t="s">
        <v>20</v>
      </c>
      <c r="B17" s="14" t="s">
        <v>94</v>
      </c>
      <c r="C17" s="11" t="s">
        <v>68</v>
      </c>
      <c r="D17" s="15">
        <v>1</v>
      </c>
      <c r="E17" s="16">
        <v>0.9998312056387082</v>
      </c>
      <c r="F17" s="15">
        <f t="shared" si="0"/>
        <v>1.6879436129180192E-4</v>
      </c>
    </row>
    <row r="18" spans="1:6" x14ac:dyDescent="0.35">
      <c r="A18" s="14" t="s">
        <v>21</v>
      </c>
      <c r="B18" s="14" t="s">
        <v>110</v>
      </c>
      <c r="C18" s="11" t="s">
        <v>69</v>
      </c>
      <c r="D18" s="15">
        <v>1</v>
      </c>
      <c r="E18" s="16">
        <v>0.99997301546318473</v>
      </c>
      <c r="F18" s="15">
        <f t="shared" si="0"/>
        <v>2.698453681526658E-5</v>
      </c>
    </row>
    <row r="19" spans="1:6" x14ac:dyDescent="0.35">
      <c r="A19" s="14" t="s">
        <v>22</v>
      </c>
      <c r="B19" s="14" t="s">
        <v>95</v>
      </c>
      <c r="C19" s="11" t="s">
        <v>70</v>
      </c>
      <c r="D19" s="15">
        <v>1</v>
      </c>
      <c r="E19" s="16">
        <v>0.9994456271482739</v>
      </c>
      <c r="F19" s="15">
        <f t="shared" si="0"/>
        <v>5.5437285172610373E-4</v>
      </c>
    </row>
    <row r="20" spans="1:6" x14ac:dyDescent="0.35">
      <c r="A20" s="14" t="s">
        <v>23</v>
      </c>
      <c r="B20" s="14" t="s">
        <v>96</v>
      </c>
      <c r="C20" s="11" t="s">
        <v>71</v>
      </c>
      <c r="D20" s="15">
        <v>1</v>
      </c>
      <c r="E20" s="16">
        <v>0.99733329018148731</v>
      </c>
      <c r="F20" s="15">
        <f t="shared" si="0"/>
        <v>2.6667098185126914E-3</v>
      </c>
    </row>
    <row r="21" spans="1:6" x14ac:dyDescent="0.35">
      <c r="A21" s="14" t="s">
        <v>24</v>
      </c>
      <c r="B21" s="14" t="s">
        <v>97</v>
      </c>
      <c r="C21" s="11" t="s">
        <v>72</v>
      </c>
      <c r="D21" s="15">
        <v>1</v>
      </c>
      <c r="E21" s="16">
        <v>0.99885769301759242</v>
      </c>
      <c r="F21" s="15">
        <f t="shared" si="0"/>
        <v>1.1423069824075816E-3</v>
      </c>
    </row>
    <row r="22" spans="1:6" x14ac:dyDescent="0.35">
      <c r="A22" s="14" t="s">
        <v>45</v>
      </c>
      <c r="B22" s="14" t="s">
        <v>98</v>
      </c>
      <c r="C22" s="11" t="s">
        <v>73</v>
      </c>
      <c r="D22" s="15">
        <v>1</v>
      </c>
      <c r="E22" s="16">
        <v>0.99880550614479169</v>
      </c>
      <c r="F22" s="15">
        <f t="shared" si="0"/>
        <v>1.1944938552083118E-3</v>
      </c>
    </row>
    <row r="23" spans="1:6" x14ac:dyDescent="0.35">
      <c r="A23" s="14" t="s">
        <v>46</v>
      </c>
      <c r="B23" s="14" t="s">
        <v>111</v>
      </c>
      <c r="C23" s="11" t="s">
        <v>74</v>
      </c>
      <c r="D23" s="15">
        <v>1</v>
      </c>
      <c r="E23" s="16">
        <v>0.99851233684248208</v>
      </c>
      <c r="F23" s="15">
        <f t="shared" si="0"/>
        <v>1.4876631575179156E-3</v>
      </c>
    </row>
    <row r="24" spans="1:6" x14ac:dyDescent="0.35">
      <c r="A24" s="14" t="s">
        <v>47</v>
      </c>
      <c r="B24" s="14" t="s">
        <v>99</v>
      </c>
      <c r="C24" s="11" t="s">
        <v>75</v>
      </c>
      <c r="D24" s="15">
        <v>1</v>
      </c>
      <c r="E24" s="16">
        <v>0.99992061430789847</v>
      </c>
      <c r="F24" s="15">
        <f t="shared" si="0"/>
        <v>7.9385692101530125E-5</v>
      </c>
    </row>
    <row r="25" spans="1:6" x14ac:dyDescent="0.35">
      <c r="A25" s="14" t="s">
        <v>48</v>
      </c>
      <c r="B25" s="14" t="s">
        <v>100</v>
      </c>
      <c r="C25" s="11" t="s">
        <v>76</v>
      </c>
      <c r="D25" s="15">
        <v>1</v>
      </c>
      <c r="E25" s="16">
        <v>0.99933019580901683</v>
      </c>
      <c r="F25" s="15">
        <f t="shared" si="0"/>
        <v>6.6980419098316979E-4</v>
      </c>
    </row>
    <row r="26" spans="1:6" x14ac:dyDescent="0.35">
      <c r="A26" s="14" t="s">
        <v>49</v>
      </c>
      <c r="B26" s="14" t="s">
        <v>101</v>
      </c>
      <c r="C26" s="11" t="s">
        <v>77</v>
      </c>
      <c r="D26" s="15">
        <v>1</v>
      </c>
      <c r="E26" s="16">
        <v>0.99980389923302782</v>
      </c>
      <c r="F26" s="15">
        <f t="shared" si="0"/>
        <v>1.9610076697218481E-4</v>
      </c>
    </row>
    <row r="27" spans="1:6" x14ac:dyDescent="0.35">
      <c r="A27" s="14" t="s">
        <v>51</v>
      </c>
      <c r="B27" s="14" t="s">
        <v>102</v>
      </c>
      <c r="C27" s="11" t="s">
        <v>78</v>
      </c>
      <c r="D27" s="15">
        <v>1</v>
      </c>
      <c r="E27" s="16">
        <v>0.99970050169534064</v>
      </c>
      <c r="F27" s="15">
        <f t="shared" si="0"/>
        <v>2.9949830465936245E-4</v>
      </c>
    </row>
    <row r="28" spans="1:6" x14ac:dyDescent="0.35">
      <c r="A28" s="14" t="s">
        <v>52</v>
      </c>
      <c r="B28" s="14" t="s">
        <v>103</v>
      </c>
      <c r="C28" s="11" t="s">
        <v>79</v>
      </c>
      <c r="D28" s="15">
        <v>1</v>
      </c>
      <c r="E28" s="16">
        <v>0.99983430362005232</v>
      </c>
      <c r="F28" s="15">
        <f t="shared" si="0"/>
        <v>1.6569637994767739E-4</v>
      </c>
    </row>
    <row r="29" spans="1:6" x14ac:dyDescent="0.35">
      <c r="A29" s="14" t="s">
        <v>53</v>
      </c>
      <c r="B29" s="14" t="s">
        <v>104</v>
      </c>
      <c r="C29" s="11" t="s">
        <v>80</v>
      </c>
      <c r="D29" s="15">
        <v>1</v>
      </c>
      <c r="E29" s="16">
        <v>0.99998345483852003</v>
      </c>
      <c r="F29" s="15">
        <f t="shared" si="0"/>
        <v>1.6545161479974979E-5</v>
      </c>
    </row>
    <row r="30" spans="1:6" x14ac:dyDescent="0.35">
      <c r="A30" s="14" t="s">
        <v>54</v>
      </c>
      <c r="B30" s="14" t="s">
        <v>105</v>
      </c>
      <c r="C30" s="11" t="s">
        <v>81</v>
      </c>
      <c r="D30" s="15">
        <v>1</v>
      </c>
      <c r="E30" s="16">
        <v>0.9948558488652226</v>
      </c>
      <c r="F30" s="15">
        <f t="shared" si="0"/>
        <v>5.1441511347773972E-3</v>
      </c>
    </row>
    <row r="31" spans="1:6" x14ac:dyDescent="0.35">
      <c r="A31" s="14" t="s">
        <v>55</v>
      </c>
      <c r="B31" s="14" t="s">
        <v>106</v>
      </c>
      <c r="C31" s="11" t="s">
        <v>82</v>
      </c>
      <c r="D31" s="15">
        <v>1</v>
      </c>
      <c r="E31" s="16">
        <v>0.99995478590340725</v>
      </c>
      <c r="F31" s="15">
        <f t="shared" si="0"/>
        <v>4.5214096592749442E-5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E562-99B1-4505-8337-F0F79DD97712}">
  <dimension ref="A1:E24"/>
  <sheetViews>
    <sheetView tabSelected="1" workbookViewId="0">
      <selection activeCell="C12" sqref="C12"/>
    </sheetView>
  </sheetViews>
  <sheetFormatPr defaultRowHeight="14.5" x14ac:dyDescent="0.35"/>
  <cols>
    <col min="1" max="1" width="3.453125" bestFit="1" customWidth="1"/>
    <col min="2" max="2" width="50" bestFit="1" customWidth="1"/>
    <col min="3" max="3" width="10.36328125" bestFit="1" customWidth="1"/>
    <col min="4" max="4" width="6.6328125" bestFit="1" customWidth="1"/>
    <col min="5" max="5" width="10.90625" bestFit="1" customWidth="1"/>
  </cols>
  <sheetData>
    <row r="1" spans="1:5" x14ac:dyDescent="0.35">
      <c r="A1" s="20" t="s">
        <v>0</v>
      </c>
      <c r="B1" s="20" t="s">
        <v>1</v>
      </c>
      <c r="C1" s="20" t="s">
        <v>2</v>
      </c>
      <c r="D1" s="21" t="s">
        <v>3</v>
      </c>
      <c r="E1" s="20" t="s">
        <v>4</v>
      </c>
    </row>
    <row r="2" spans="1:5" x14ac:dyDescent="0.35">
      <c r="A2" s="22" t="s">
        <v>5</v>
      </c>
      <c r="B2" s="23" t="s">
        <v>112</v>
      </c>
      <c r="C2" s="24" t="s">
        <v>135</v>
      </c>
      <c r="D2" s="16">
        <v>0.83853158155982022</v>
      </c>
      <c r="E2" s="25" t="str">
        <f>IF((D2-0.5)&gt;0.2,"Distress","Non Distress")</f>
        <v>Distress</v>
      </c>
    </row>
    <row r="3" spans="1:5" x14ac:dyDescent="0.35">
      <c r="A3" s="22" t="s">
        <v>6</v>
      </c>
      <c r="B3" s="26" t="s">
        <v>113</v>
      </c>
      <c r="C3" s="24" t="s">
        <v>136</v>
      </c>
      <c r="D3" s="16">
        <v>0.50000072216796076</v>
      </c>
      <c r="E3" s="25" t="str">
        <f t="shared" ref="E3:E24" si="0">IF((D3-0.5)&gt;0.2,"Distress","Non Distress")</f>
        <v>Non Distress</v>
      </c>
    </row>
    <row r="4" spans="1:5" x14ac:dyDescent="0.35">
      <c r="A4" s="22" t="s">
        <v>7</v>
      </c>
      <c r="B4" s="26" t="s">
        <v>114</v>
      </c>
      <c r="C4" s="24" t="s">
        <v>137</v>
      </c>
      <c r="D4" s="16">
        <v>0.50029880380358949</v>
      </c>
      <c r="E4" s="25" t="str">
        <f t="shared" si="0"/>
        <v>Non Distress</v>
      </c>
    </row>
    <row r="5" spans="1:5" x14ac:dyDescent="0.35">
      <c r="A5" s="22" t="s">
        <v>8</v>
      </c>
      <c r="B5" s="26" t="s">
        <v>115</v>
      </c>
      <c r="C5" s="24" t="s">
        <v>138</v>
      </c>
      <c r="D5" s="16">
        <v>0.50000395598756187</v>
      </c>
      <c r="E5" s="25" t="str">
        <f t="shared" si="0"/>
        <v>Non Distress</v>
      </c>
    </row>
    <row r="6" spans="1:5" x14ac:dyDescent="0.35">
      <c r="A6" s="22" t="s">
        <v>9</v>
      </c>
      <c r="B6" s="26" t="s">
        <v>116</v>
      </c>
      <c r="C6" s="24" t="s">
        <v>139</v>
      </c>
      <c r="D6" s="16">
        <v>0.99994149025404777</v>
      </c>
      <c r="E6" s="25" t="str">
        <f t="shared" si="0"/>
        <v>Distress</v>
      </c>
    </row>
    <row r="7" spans="1:5" x14ac:dyDescent="0.35">
      <c r="A7" s="22" t="s">
        <v>10</v>
      </c>
      <c r="B7" s="26" t="s">
        <v>117</v>
      </c>
      <c r="C7" s="24" t="s">
        <v>140</v>
      </c>
      <c r="D7" s="16">
        <v>0.99995518317447396</v>
      </c>
      <c r="E7" s="25" t="str">
        <f t="shared" si="0"/>
        <v>Distress</v>
      </c>
    </row>
    <row r="8" spans="1:5" x14ac:dyDescent="0.35">
      <c r="A8" s="22" t="s">
        <v>11</v>
      </c>
      <c r="B8" s="26" t="s">
        <v>118</v>
      </c>
      <c r="C8" s="24" t="s">
        <v>141</v>
      </c>
      <c r="D8" s="16">
        <v>0.50196391148936892</v>
      </c>
      <c r="E8" s="25" t="str">
        <f t="shared" si="0"/>
        <v>Non Distress</v>
      </c>
    </row>
    <row r="9" spans="1:5" x14ac:dyDescent="0.35">
      <c r="A9" s="20" t="s">
        <v>12</v>
      </c>
      <c r="B9" s="26" t="s">
        <v>119</v>
      </c>
      <c r="C9" s="24" t="s">
        <v>142</v>
      </c>
      <c r="D9" s="16">
        <v>0.50076698895800831</v>
      </c>
      <c r="E9" s="25" t="str">
        <f t="shared" si="0"/>
        <v>Non Distress</v>
      </c>
    </row>
    <row r="10" spans="1:5" x14ac:dyDescent="0.35">
      <c r="A10" s="22" t="s">
        <v>13</v>
      </c>
      <c r="B10" s="26" t="s">
        <v>120</v>
      </c>
      <c r="C10" s="24" t="s">
        <v>143</v>
      </c>
      <c r="D10" s="16">
        <v>0.81454918421083256</v>
      </c>
      <c r="E10" s="25" t="str">
        <f t="shared" si="0"/>
        <v>Distress</v>
      </c>
    </row>
    <row r="11" spans="1:5" x14ac:dyDescent="0.35">
      <c r="A11" s="22" t="s">
        <v>14</v>
      </c>
      <c r="B11" s="23" t="s">
        <v>121</v>
      </c>
      <c r="C11" s="24" t="s">
        <v>144</v>
      </c>
      <c r="D11" s="16">
        <v>0.99987894733234417</v>
      </c>
      <c r="E11" s="25" t="str">
        <f t="shared" si="0"/>
        <v>Distress</v>
      </c>
    </row>
    <row r="12" spans="1:5" x14ac:dyDescent="0.35">
      <c r="A12" s="20" t="s">
        <v>15</v>
      </c>
      <c r="B12" s="26" t="s">
        <v>122</v>
      </c>
      <c r="C12" s="24" t="s">
        <v>145</v>
      </c>
      <c r="D12" s="16">
        <v>0.50069986647510978</v>
      </c>
      <c r="E12" s="25" t="str">
        <f t="shared" si="0"/>
        <v>Non Distress</v>
      </c>
    </row>
    <row r="13" spans="1:5" x14ac:dyDescent="0.35">
      <c r="A13" s="22" t="s">
        <v>16</v>
      </c>
      <c r="B13" s="26" t="s">
        <v>123</v>
      </c>
      <c r="C13" s="24" t="s">
        <v>146</v>
      </c>
      <c r="D13" s="16">
        <v>0.99923796952391364</v>
      </c>
      <c r="E13" s="25" t="str">
        <f t="shared" si="0"/>
        <v>Distress</v>
      </c>
    </row>
    <row r="14" spans="1:5" x14ac:dyDescent="0.35">
      <c r="A14" s="22" t="s">
        <v>17</v>
      </c>
      <c r="B14" s="26" t="s">
        <v>124</v>
      </c>
      <c r="C14" s="24" t="s">
        <v>147</v>
      </c>
      <c r="D14" s="16">
        <v>0.53334004886011266</v>
      </c>
      <c r="E14" s="25" t="str">
        <f t="shared" si="0"/>
        <v>Non Distress</v>
      </c>
    </row>
    <row r="15" spans="1:5" x14ac:dyDescent="0.35">
      <c r="A15" s="22" t="s">
        <v>18</v>
      </c>
      <c r="B15" s="26" t="s">
        <v>125</v>
      </c>
      <c r="C15" s="24" t="s">
        <v>148</v>
      </c>
      <c r="D15" s="16">
        <v>0.50984693198307318</v>
      </c>
      <c r="E15" s="25" t="str">
        <f t="shared" si="0"/>
        <v>Non Distress</v>
      </c>
    </row>
    <row r="16" spans="1:5" x14ac:dyDescent="0.35">
      <c r="A16" s="22" t="s">
        <v>19</v>
      </c>
      <c r="B16" s="26" t="s">
        <v>126</v>
      </c>
      <c r="C16" s="24" t="s">
        <v>149</v>
      </c>
      <c r="D16" s="16">
        <v>0.97427960946226655</v>
      </c>
      <c r="E16" s="25" t="str">
        <f t="shared" si="0"/>
        <v>Distress</v>
      </c>
    </row>
    <row r="17" spans="1:5" x14ac:dyDescent="0.35">
      <c r="A17" s="20" t="s">
        <v>20</v>
      </c>
      <c r="B17" s="26" t="s">
        <v>127</v>
      </c>
      <c r="C17" s="24" t="s">
        <v>150</v>
      </c>
      <c r="D17" s="16">
        <v>0.50003052442202522</v>
      </c>
      <c r="E17" s="25" t="str">
        <f t="shared" si="0"/>
        <v>Non Distress</v>
      </c>
    </row>
    <row r="18" spans="1:5" x14ac:dyDescent="0.35">
      <c r="A18" s="22" t="s">
        <v>21</v>
      </c>
      <c r="B18" s="26" t="s">
        <v>128</v>
      </c>
      <c r="C18" s="24" t="s">
        <v>151</v>
      </c>
      <c r="D18" s="16">
        <v>0.50000035101251372</v>
      </c>
      <c r="E18" s="25" t="str">
        <f t="shared" si="0"/>
        <v>Non Distress</v>
      </c>
    </row>
    <row r="19" spans="1:5" x14ac:dyDescent="0.35">
      <c r="A19" s="22" t="s">
        <v>22</v>
      </c>
      <c r="B19" s="26" t="s">
        <v>129</v>
      </c>
      <c r="C19" s="24" t="s">
        <v>152</v>
      </c>
      <c r="D19" s="16">
        <v>0.99891062905855788</v>
      </c>
      <c r="E19" s="25" t="str">
        <f t="shared" si="0"/>
        <v>Distress</v>
      </c>
    </row>
    <row r="20" spans="1:5" x14ac:dyDescent="0.35">
      <c r="A20" s="22" t="s">
        <v>23</v>
      </c>
      <c r="B20" s="26" t="s">
        <v>130</v>
      </c>
      <c r="C20" s="24" t="s">
        <v>153</v>
      </c>
      <c r="D20" s="16">
        <v>0.50000066553463607</v>
      </c>
      <c r="E20" s="25" t="str">
        <f t="shared" si="0"/>
        <v>Non Distress</v>
      </c>
    </row>
    <row r="21" spans="1:5" x14ac:dyDescent="0.35">
      <c r="A21" s="20" t="s">
        <v>24</v>
      </c>
      <c r="B21" s="24" t="s">
        <v>131</v>
      </c>
      <c r="C21" s="24" t="s">
        <v>154</v>
      </c>
      <c r="D21" s="16">
        <v>0.99989691838137995</v>
      </c>
      <c r="E21" s="25" t="str">
        <f t="shared" si="0"/>
        <v>Distress</v>
      </c>
    </row>
    <row r="22" spans="1:5" x14ac:dyDescent="0.35">
      <c r="A22" s="16"/>
      <c r="B22" s="26" t="s">
        <v>132</v>
      </c>
      <c r="C22" s="24" t="s">
        <v>155</v>
      </c>
      <c r="D22" s="16">
        <v>0.99996176419018767</v>
      </c>
      <c r="E22" s="25" t="str">
        <f>IF((D22-0.5)&gt;0.2,"Distress","Non Distress")</f>
        <v>Distress</v>
      </c>
    </row>
    <row r="23" spans="1:5" x14ac:dyDescent="0.35">
      <c r="A23" s="16"/>
      <c r="B23" s="26" t="s">
        <v>133</v>
      </c>
      <c r="C23" s="24" t="s">
        <v>156</v>
      </c>
      <c r="D23" s="16">
        <v>0.99988113697906122</v>
      </c>
      <c r="E23" s="25" t="str">
        <f t="shared" si="0"/>
        <v>Distress</v>
      </c>
    </row>
    <row r="24" spans="1:5" x14ac:dyDescent="0.35">
      <c r="A24" s="16"/>
      <c r="B24" s="26" t="s">
        <v>134</v>
      </c>
      <c r="C24" s="24" t="s">
        <v>157</v>
      </c>
      <c r="D24" s="16">
        <v>0.9943168920194736</v>
      </c>
      <c r="E24" s="25" t="str">
        <f t="shared" si="0"/>
        <v>Distress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Output 1</vt:lpstr>
      <vt:lpstr>Output 2</vt:lpstr>
      <vt:lpstr>Output 3</vt:lpstr>
      <vt:lpstr>Output 4</vt:lpstr>
      <vt:lpstr>'Output 3'!_Hlk173187818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2024-07-29T16:24:52Z</dcterms:created>
  <dcterms:modified xsi:type="dcterms:W3CDTF">2024-07-29T17:20:17Z</dcterms:modified>
</cp:coreProperties>
</file>